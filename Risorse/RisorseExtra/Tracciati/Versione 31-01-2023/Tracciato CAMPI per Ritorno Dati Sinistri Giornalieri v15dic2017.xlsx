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" windowWidth="15225" windowHeight="8730" tabRatio="599"/>
  </bookViews>
  <sheets>
    <sheet name="Tracc. rec. sin. giornalieri" sheetId="1" r:id="rId1"/>
  </sheets>
  <definedNames>
    <definedName name="_xlnm._FilterDatabase" localSheetId="0" hidden="1">'Tracc. rec. sin. giornalieri'!$A$2:$A$150</definedName>
  </definedNames>
  <calcPr calcId="145621"/>
</workbook>
</file>

<file path=xl/calcChain.xml><?xml version="1.0" encoding="utf-8"?>
<calcChain xmlns="http://schemas.openxmlformats.org/spreadsheetml/2006/main">
  <c r="D4" i="1" l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8" i="1" l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E153" i="1" s="1"/>
  <c r="D15" i="1"/>
  <c r="D16" i="1" s="1"/>
  <c r="D17" i="1" s="1"/>
</calcChain>
</file>

<file path=xl/comments1.xml><?xml version="1.0" encoding="utf-8"?>
<comments xmlns="http://schemas.openxmlformats.org/spreadsheetml/2006/main">
  <authors>
    <author>e2100001</author>
  </authors>
  <commentList>
    <comment ref="A63" authorId="0">
      <text>
        <r>
          <rPr>
            <b/>
            <sz val="8"/>
            <color indexed="81"/>
            <rFont val="Tahoma"/>
            <family val="2"/>
          </rPr>
          <t>Campo non più valorizzato</t>
        </r>
      </text>
    </comment>
  </commentList>
</comments>
</file>

<file path=xl/sharedStrings.xml><?xml version="1.0" encoding="utf-8"?>
<sst xmlns="http://schemas.openxmlformats.org/spreadsheetml/2006/main" count="694" uniqueCount="368">
  <si>
    <t>Tipo</t>
  </si>
  <si>
    <t>Posiz</t>
  </si>
  <si>
    <t xml:space="preserve"> </t>
  </si>
  <si>
    <t>Carattere</t>
  </si>
  <si>
    <t>Descrizione campo</t>
  </si>
  <si>
    <t>Esercizio del sinistro</t>
  </si>
  <si>
    <t>Agenzia del sinistro</t>
  </si>
  <si>
    <t>Dimensione</t>
  </si>
  <si>
    <t>Ramo sinistro</t>
  </si>
  <si>
    <t>Numero sinistro</t>
  </si>
  <si>
    <t>Ispettorato</t>
  </si>
  <si>
    <t>Agenzia di polizza</t>
  </si>
  <si>
    <t>Ramo polizza</t>
  </si>
  <si>
    <t>Numero polizza</t>
  </si>
  <si>
    <t>Codice subagenzia</t>
  </si>
  <si>
    <t>Codice produttore</t>
  </si>
  <si>
    <t>Tipo cid</t>
  </si>
  <si>
    <t xml:space="preserve">1=attivo; 2=parziale 4=passivo, 5=ID attivo, 6=ID misto, 7=ID passivo 8=RCA attivo (assistenza); ' ' = altro   </t>
  </si>
  <si>
    <t>Tipo chiusura</t>
  </si>
  <si>
    <t xml:space="preserve">Tpo sinistro </t>
  </si>
  <si>
    <t>Flag cose/persone</t>
  </si>
  <si>
    <t xml:space="preserve">C=sinistro con soli danni a cose P=sinistro con danni a persone e/o cose </t>
  </si>
  <si>
    <t>Nostra quota</t>
  </si>
  <si>
    <t>Primo preventivo (formato 9(13),9(02))</t>
  </si>
  <si>
    <t>Indicatore franchigia di portafoglio</t>
  </si>
  <si>
    <t>S=presenza franchigia di portafoglio; 'N' o ' ' =assenza franchigia di portafoglio</t>
  </si>
  <si>
    <t>Codice convenzione</t>
  </si>
  <si>
    <t>Codice prodotto</t>
  </si>
  <si>
    <t>Cognome assicurato</t>
  </si>
  <si>
    <t>Nome assicurato</t>
  </si>
  <si>
    <t>Targa del'assicurato</t>
  </si>
  <si>
    <t>Cognome danneggiato</t>
  </si>
  <si>
    <t>targa danneggiato</t>
  </si>
  <si>
    <t>Compagnia</t>
  </si>
  <si>
    <t>1=ex Unipol, 6= ex Aurora</t>
  </si>
  <si>
    <t>Agenzia di polizza di arrivo (nuova)</t>
  </si>
  <si>
    <t>Codice del liquidatore</t>
  </si>
  <si>
    <t>Tipo delega</t>
  </si>
  <si>
    <t>0= no cossicurazione; 1= ns. delega; 2=delega altrui..</t>
  </si>
  <si>
    <t>Codice Fiscale Assicurato</t>
  </si>
  <si>
    <t>Codice Compagnia di controparte</t>
  </si>
  <si>
    <t>Flag sinistro aperto in AIDA o SERTEL</t>
  </si>
  <si>
    <t>Numero posizioni protocollate sul sinistro</t>
  </si>
  <si>
    <t>Tipo denuncia</t>
  </si>
  <si>
    <t>valori: 0 = cartacea; 1= telefonica; 2 = web</t>
  </si>
  <si>
    <t>Presentatore della denuncia</t>
  </si>
  <si>
    <t>Numero cartella di sertel</t>
  </si>
  <si>
    <t>Codice Ania della carrozzeria incaricata</t>
  </si>
  <si>
    <t>Livello di informatizzazione della carrozzeria</t>
  </si>
  <si>
    <t>Autore della denuncia (tipologia del denunciante)</t>
  </si>
  <si>
    <t>Vedi tabella trascodifica sotto riportata</t>
  </si>
  <si>
    <t>Valorizzato solo per i sinistri di esercizio</t>
  </si>
  <si>
    <t>Segno pagato dell'esercizio</t>
  </si>
  <si>
    <t>Segno pagato all'esercizio</t>
  </si>
  <si>
    <t>Importo recuperato nell'esercizio per franchigie+rivalse+altro (bonus malus)</t>
  </si>
  <si>
    <t>Importo recuperato all'esercizio per franchigie+rivalse+altro (bonus malus)</t>
  </si>
  <si>
    <t>Codice perito incaricato (quello con data &gt;)</t>
  </si>
  <si>
    <t>provincia della carrozzeria incaricata (la prima che trova)</t>
  </si>
  <si>
    <t>Valori ammessi</t>
  </si>
  <si>
    <t>Nome campo</t>
  </si>
  <si>
    <t>Segno recuperi dell'esercizio</t>
  </si>
  <si>
    <t>Segno recuperi all'esercizio</t>
  </si>
  <si>
    <t>Impostato nel settimanale (S/N)</t>
  </si>
  <si>
    <t>S</t>
  </si>
  <si>
    <t>N</t>
  </si>
  <si>
    <t>Importo in quota pagato nell'esercizio (formato 9(13),9(02))</t>
  </si>
  <si>
    <t>Per i sinistri no card contiene il pagato - storni dell'esercizio escluso pagamenti cid attivi; Per i sinistri card contiene inoltre il pagato card attivo - storni - forfait gestionario + forfait debitore dell'esercizio</t>
  </si>
  <si>
    <t>Per i sinistri no card contiene il pagato all'esercizio escluso pagamenti cid attivi; Per i sinistri card contiene inoltre il pagato card attivo - storni - forfait gestionario + forfait debitore dell'esercizio</t>
  </si>
  <si>
    <t>Importo recuperato dell'esercizio in quota(formato 9(13),9(02))</t>
  </si>
  <si>
    <t>Importo in quota pagato all'esercizio (formato 9(13),9(02))</t>
  </si>
  <si>
    <t>Importo recuperato all'esercizio in quota (formato 9(13),9(02))</t>
  </si>
  <si>
    <t>Contatore sinistri</t>
  </si>
  <si>
    <t xml:space="preserve">Contatore dei sinistri.
valorizzato sempre a 1 tranne che per i sinistri chiusi 08/09/04/05 degli esercizi precedenti.
</t>
  </si>
  <si>
    <t xml:space="preserve">0 = assente; 1 = presente </t>
  </si>
  <si>
    <t>Indicatore della presenza sul sinistro della componente card gestionaria</t>
  </si>
  <si>
    <t>Indicatore della presenza sul sinistro della componente card debitrice</t>
  </si>
  <si>
    <t>Indicatore della presenza sul sinistro della componente no card</t>
  </si>
  <si>
    <t>Pagato no card all'esercizio in quota (formato 9(13),9(02))</t>
  </si>
  <si>
    <t>Pagato card attivo all'esercizio in quota (formato 9(13),9(02))</t>
  </si>
  <si>
    <t>Contiene il pagato - storni no card all'esercizio in quota per la componente no card</t>
  </si>
  <si>
    <t>Contiene il pagato - storni no card all'esercizio in quota per la componente card gestionaria</t>
  </si>
  <si>
    <t>Codice agenzia madre</t>
  </si>
  <si>
    <t xml:space="preserve">1: denuncia aperta dal legale; 2: presenza di anagrafica del legale; 3: pagamento effettuato al legale.  </t>
  </si>
  <si>
    <t>Flag legale</t>
  </si>
  <si>
    <t>valori: 0= nessun presentatore (cioè è il contraente); 1 = Agenzia; 2 = CLG; 3 = Carrozziere; 4 = Altro</t>
  </si>
  <si>
    <t>Tipologia  denuncia</t>
  </si>
  <si>
    <t>Indicatore sinistro canalizzato</t>
  </si>
  <si>
    <t xml:space="preserve">s=sinistro canalizzato; altro: sinistro non canalizzato </t>
  </si>
  <si>
    <t xml:space="preserve">CODICE ANIA della carrozzeria c/o la quale è stata eseguita la canalizzazione </t>
  </si>
  <si>
    <t>data di sistema del momento di apertura del sinistro</t>
  </si>
  <si>
    <t xml:space="preserve">preventivo statistico in quota (formato 9(13),9(02)). </t>
  </si>
  <si>
    <t>Settore di tariffazione</t>
  </si>
  <si>
    <t>Tipo ramo</t>
  </si>
  <si>
    <t xml:space="preserve">Valori = '1' RCA (ramo ministeriale = 3, 10), 2 = rami elementari </t>
  </si>
  <si>
    <t>Lesioni</t>
  </si>
  <si>
    <t>Morti</t>
  </si>
  <si>
    <t xml:space="preserve">1:denuncia del danneggiato; 2:denuncia dell’assicurato; 3:denuncia del legale del danneggiato; 4:denuncia con firma congiunta 5:riapertura da sinistro liquidato totale; 6:riapertura da sinistro senza seguito; 7:riapertura da sinistro cid ex liquidato totale 8:riapertura da sinistro cid ex senza seguito, 9:denuncia annullata </t>
  </si>
  <si>
    <t xml:space="preserve">Flag di forzatura contrattuale dell’agenzia che ha aperto il sinistro. S= sinistro forzato e quindi non regolare, N= sinistro non forzato e quindi regolare </t>
  </si>
  <si>
    <t>forzatura sullo stato amministrativo, siglata da ispettorato I possibili valori sono:
   ‘S’ = si,
   ‘A’ = no diventato si, 
   ‘N’ = no, 
   ‘B’ = si diventato no
Se impostato = ‘S’ o ‘A’ si può’ pagare il sinistro altrimenti il pagamento è inibito</t>
  </si>
  <si>
    <t>Importo netto da recuperare per franchigie in quota  (formato 9(13),9(02)).</t>
  </si>
  <si>
    <t>Importo netto da recuperare per rivalsa in quota  (formato 9(13),9(02)).</t>
  </si>
  <si>
    <t>Importo netto da recuperare per altro in quota (formato 9(13),9(02)).</t>
  </si>
  <si>
    <t>Importo recuperato per franchigie all'esercizio in quota (formato 9(13),9(02)).</t>
  </si>
  <si>
    <t>Importo recuperato per rivalse all'esercizio in quota (formato 9(13),9(02)).</t>
  </si>
  <si>
    <t>Importo recuperato per altro all'esercizio in quota (formato 9(13),9(02)).</t>
  </si>
  <si>
    <t>Caso Baremes 1 controparte veicolo A</t>
  </si>
  <si>
    <t>Caso Baremes 1 controparte veicolo B</t>
  </si>
  <si>
    <t>Caso Baremes 2 mia denuncia veicolo A</t>
  </si>
  <si>
    <t>Caso Baremes 2 mia denuncia veicolo B</t>
  </si>
  <si>
    <t xml:space="preserve">Spese all'esercizio in quota (formato 9(13),9(02)). </t>
  </si>
  <si>
    <t>Importo recuperato per franchigie dell'esercizio in quota (formato 9(13),9(02)).</t>
  </si>
  <si>
    <t>Importo recuperato per rivalse dell'esercizio in quota (formato 9(13),9(02)).</t>
  </si>
  <si>
    <t>Importo recuperato per altro dell'esercizio in quota (formato 9(13),9(02)).</t>
  </si>
  <si>
    <t xml:space="preserve">Spese dell'esercizio in quota (formato 9(13),9(02)). </t>
  </si>
  <si>
    <t>Nome danneggiato</t>
  </si>
  <si>
    <t>01</t>
  </si>
  <si>
    <t>Contiene la somma delle parcelle (ad esclusione di quelle di controparte e di quelle di ramo 10/71 che fanno parte dell'indennizzo). Sono le spese di resistenza (dirette) + le spese di liquidazione. Dato in quota all'esercizio.</t>
  </si>
  <si>
    <t>Contiene la somma delle parcelle (ad esclusione di quelle di controparte e di quelle di ramo 10/71 che sono parte dell' indennizzo). Sono le spese di resistenza (dirette) + le spese di liquidazione. Dato in quota dell'esercizio.</t>
  </si>
  <si>
    <t>Importo riserva</t>
  </si>
  <si>
    <t xml:space="preserve">Forzatura regolarità contrattuale </t>
  </si>
  <si>
    <t xml:space="preserve">Regolarità amministrativa </t>
  </si>
  <si>
    <t>Forfait gestionario da compensare (riserva forfait)</t>
  </si>
  <si>
    <t>Forfait debitore da compensare (riserva forfait)</t>
  </si>
  <si>
    <t>Contiene la riserva tecnica ovvero la riserva presente in AIDA o, in mancanca la riserva netta statistica per i sinistri di esercizio</t>
  </si>
  <si>
    <t>Segno pagato no card all'esercizio</t>
  </si>
  <si>
    <t>Segno pagato card attivo all'esercizio</t>
  </si>
  <si>
    <t>Segno importo netto da recuperare per franchigie in quota</t>
  </si>
  <si>
    <t>Segno importo netto da recuperare per rivalse in quota</t>
  </si>
  <si>
    <t>Segno importo netto da recuperare per altro in quota</t>
  </si>
  <si>
    <t>Segno importo recuperato per franchigie all'esercizio</t>
  </si>
  <si>
    <t>Segno importo recuperato per rivalse all'esercizio</t>
  </si>
  <si>
    <t>Segno importo recuperato per altro all'esercizio</t>
  </si>
  <si>
    <t>Segno importo recuperato per franchigie dell'esercizio</t>
  </si>
  <si>
    <t>Segno importo recuperato per rivalse dell'esercizio</t>
  </si>
  <si>
    <t>Segno importo recuperato per altro dell'esercizio</t>
  </si>
  <si>
    <t>Segno spese all'esercizio</t>
  </si>
  <si>
    <t>Segno spese dell'esercizio</t>
  </si>
  <si>
    <t>Forfait pagati card debitore all'esercizio</t>
  </si>
  <si>
    <t>Forfait pagati card debitore dell'esercizio</t>
  </si>
  <si>
    <t>Forfait pagati card gestionari all'esercizio</t>
  </si>
  <si>
    <t>Forfait pagati card gestionari dell'esercizio</t>
  </si>
  <si>
    <t>Segno forfait pagati card debitore all'esercizio</t>
  </si>
  <si>
    <t>Segno forfait pagati card debitore dell'esercizio</t>
  </si>
  <si>
    <t>Segno forfait pagati card gestionari all'esercizio</t>
  </si>
  <si>
    <t>Segno forfait pagati card gestionari dell'esercizio</t>
  </si>
  <si>
    <t xml:space="preserve">Segno forifait gestionario da compensare </t>
  </si>
  <si>
    <t>Segno forfait debitore da compensare</t>
  </si>
  <si>
    <t>Segno pagato no card dell'esercizio</t>
  </si>
  <si>
    <t>Pagato no card dell'esercizio in quota (formato 9(13),9(02))</t>
  </si>
  <si>
    <t>Segno pagato card attivo dell'esercizio</t>
  </si>
  <si>
    <t>Pagato card attivo dell'esercizio in quota (formato 9(13),9(02))</t>
  </si>
  <si>
    <t>Contiene il pagato - storni no card dell'esercizio in quota per la componente no card</t>
  </si>
  <si>
    <t>Contiene il pagato - storni no card dell'esercizio in quota per la componente card gestionaria</t>
  </si>
  <si>
    <t>Forfait debitore pagato all'esercizio in quota</t>
  </si>
  <si>
    <t>Forfait debitore pagato nell'esercizio in quota</t>
  </si>
  <si>
    <t>Forfait gestionario pagato all'esercizio in quota</t>
  </si>
  <si>
    <t>Forfait gestionario pagato dell'esercizio in quota</t>
  </si>
  <si>
    <t>Forfait gestionario ancora da ricevere (riserva)</t>
  </si>
  <si>
    <t>Forfait debitore ancora da ricevere (riserva)</t>
  </si>
  <si>
    <t>Ramo gestione</t>
  </si>
  <si>
    <t>Compagnia new</t>
  </si>
  <si>
    <t>Codice compagnia NEW</t>
  </si>
  <si>
    <t xml:space="preserve">Questo campo avrà anche i seguenti valori: M = migrato in CC; C = migrato e variato in CC </t>
  </si>
  <si>
    <t>Questo campo al momento non è ancora stato mappato con nessun campo di CC;</t>
  </si>
  <si>
    <t xml:space="preserve">In CC per l'rca è sempre 1. </t>
  </si>
  <si>
    <t>Info non più presente per i sinistri in CC.</t>
  </si>
  <si>
    <t>Stato bilancistico</t>
  </si>
  <si>
    <t>Stato tecnico</t>
  </si>
  <si>
    <t>Data aggiornamento stato tecnico</t>
  </si>
  <si>
    <t>Es. di competenza stato tecnico</t>
  </si>
  <si>
    <t>data aggiornamento stato bilancistico</t>
  </si>
  <si>
    <t>Es. di competenza stato bilancistico</t>
  </si>
  <si>
    <t>Stato amministrativo</t>
  </si>
  <si>
    <t>data aggiornamento stato amministrativo</t>
  </si>
  <si>
    <t>Es. di competenza stato amministrativo</t>
  </si>
  <si>
    <t>Stato del recupero</t>
  </si>
  <si>
    <t>data aggiornamento stato del recupero</t>
  </si>
  <si>
    <t>Es. di competenza stato del recupero</t>
  </si>
  <si>
    <t>Stato del forfait</t>
  </si>
  <si>
    <t>data aggiornamento stato del forfait</t>
  </si>
  <si>
    <t>Es. di competenza stato del forfait</t>
  </si>
  <si>
    <t>Campo ricostruito per i sinistri di CC; per recuperi e spese vedere nuovi stati</t>
  </si>
  <si>
    <t xml:space="preserve">campo nuovo </t>
  </si>
  <si>
    <t>Per i sinistri di CC conterrà "carrozzeria top" (S/N)</t>
  </si>
  <si>
    <t>Per i sinistri di CC in questo campo sarà riportato il numero evento nel formato AAnnnnnnnnn</t>
  </si>
  <si>
    <t xml:space="preserve">Per i sinistri di CC sarà inserito il codice GERT; </t>
  </si>
  <si>
    <t>Per i sinistri di CC sarà inserito il codice GERT;</t>
  </si>
  <si>
    <t>A=AIDA; S=SERTEL; M=migrato e non variato in CC; C = migrato e variato in CC</t>
  </si>
  <si>
    <t xml:space="preserve">Per CC questo campo non sarà più valorizzato. Vedi nuovo campo </t>
  </si>
  <si>
    <t xml:space="preserve">CODICE ANIA della carrozzeria c/o la quale è stato eseguito il  PAGAMENTO </t>
  </si>
  <si>
    <t>sostituisce il campo SIMAG02C-COD-PROF</t>
  </si>
  <si>
    <t>Filler</t>
  </si>
  <si>
    <t>' ' = aperto; '02' = sinistro chiuso LT; '03' = sinistro chiuso SS</t>
  </si>
  <si>
    <t xml:space="preserve">aperto           
liquidato_totale 
liquidato_parziale 
senza_seguito    </t>
  </si>
  <si>
    <t>Numerico</t>
  </si>
  <si>
    <t>Stato avvenimento sinistro</t>
  </si>
  <si>
    <t>provincia avvenimento sinistro</t>
  </si>
  <si>
    <t>Agenzia di polizza (corrente) agenzia che riceve i dati</t>
  </si>
  <si>
    <t>Progressivo (sempre = 01)</t>
  </si>
  <si>
    <t>Tipo elaborazione</t>
  </si>
  <si>
    <t>Numero veicolo</t>
  </si>
  <si>
    <t>Casistica CID</t>
  </si>
  <si>
    <t>Codice fiscale danneggiato</t>
  </si>
  <si>
    <t>Compagnia del danneggiato</t>
  </si>
  <si>
    <t>Codice compagnia</t>
  </si>
  <si>
    <t>SIMAG30R-DTTRAS</t>
  </si>
  <si>
    <t>SIMAG30R-AGPOL-ULT</t>
  </si>
  <si>
    <t>SIMAG30R-PROGR</t>
  </si>
  <si>
    <t>SIMAG30R-TPRCD</t>
  </si>
  <si>
    <t>SIMAG30R-ESER</t>
  </si>
  <si>
    <t>SIMAG30R-AGSIN</t>
  </si>
  <si>
    <t>SIMAG30R-RMSIN</t>
  </si>
  <si>
    <t>SIMAG30R-NMSIN</t>
  </si>
  <si>
    <t>SIMAG30R-ISPET</t>
  </si>
  <si>
    <t>SIMAG30R-AGPOL</t>
  </si>
  <si>
    <t>SIMAG30R-RMPOL</t>
  </si>
  <si>
    <t>SIMAG30R-NMPOL</t>
  </si>
  <si>
    <t>SIMAG30R-NUM-VEIC</t>
  </si>
  <si>
    <t>SIMAG30R-SUBAGENTE</t>
  </si>
  <si>
    <t>SIMAG30R-PRODUTTORE</t>
  </si>
  <si>
    <t>SIMAG30R-DTSIN</t>
  </si>
  <si>
    <t>SIMAG30R-DTDEN</t>
  </si>
  <si>
    <t>SIMAG30R-DTCAR</t>
  </si>
  <si>
    <t>SIMAG30R-STATO-EST</t>
  </si>
  <si>
    <t>SIMAG30R-PROV-ACC</t>
  </si>
  <si>
    <t>SIMAG30R-CASO-CID</t>
  </si>
  <si>
    <t>SIMAG30R-TPCID</t>
  </si>
  <si>
    <t>SIMAG30R-TPCH</t>
  </si>
  <si>
    <t>SIMAG30R-TSIN1</t>
  </si>
  <si>
    <t>SIMAG30R-FCSPS</t>
  </si>
  <si>
    <t>SIMAG30R-NSQTA</t>
  </si>
  <si>
    <t>SIMAG30R-1PREVENTIVO</t>
  </si>
  <si>
    <t>SIMAG30R-PAG-DEL-S</t>
  </si>
  <si>
    <t>SIMAG30R-PAG-DEL</t>
  </si>
  <si>
    <t>SIMAG30R-PAG-AL-S</t>
  </si>
  <si>
    <t>SIMAG30R-PAG-AL</t>
  </si>
  <si>
    <t>SIMAG30R-REC-DEL-S</t>
  </si>
  <si>
    <t>SIMAG30R-REC-DEL</t>
  </si>
  <si>
    <t>SIMAG30R-REC-AL-S</t>
  </si>
  <si>
    <t>SIMAG30R-REC-AL</t>
  </si>
  <si>
    <t>SIMAG30R-FRANCH-PORT</t>
  </si>
  <si>
    <t>SIMAG30R-CONVENZ</t>
  </si>
  <si>
    <t>SIMAG30R-PRODOTTO</t>
  </si>
  <si>
    <t>SIMAG30R-COGN-ASS</t>
  </si>
  <si>
    <t>SIMAG30R-NOME-ASS</t>
  </si>
  <si>
    <t>SIMAG30R-TRG-ASS</t>
  </si>
  <si>
    <t>SIMAG30R-COGN-DAN</t>
  </si>
  <si>
    <t>SIMAG30R-NOME-DAN</t>
  </si>
  <si>
    <t>SIMAG30R-CFISC-DAN</t>
  </si>
  <si>
    <t>SIMAG30R-COMP-CID</t>
  </si>
  <si>
    <t>SIMAG30R-TRG-DAN</t>
  </si>
  <si>
    <t>SIMAG30R-CCOMP</t>
  </si>
  <si>
    <t>SIMAG30R-AGPOLNEW</t>
  </si>
  <si>
    <t>SIMAG30R-CLIQ</t>
  </si>
  <si>
    <t>SIMAG30R-TPCOA</t>
  </si>
  <si>
    <t>SIMAG30R-CFISC-ASS</t>
  </si>
  <si>
    <t>SIMAG30R-DTULT-LIQ</t>
  </si>
  <si>
    <t>SIMAG30R-DTRIC-DEN</t>
  </si>
  <si>
    <t>SIMAG30R-CCONTR</t>
  </si>
  <si>
    <t>SIMAG30R-FAIST</t>
  </si>
  <si>
    <t>SIMAG30R-NR-POS</t>
  </si>
  <si>
    <t>SIMAG30R-TIPO-DEN</t>
  </si>
  <si>
    <t>SIMAG30R-PRESENTATORE</t>
  </si>
  <si>
    <t>SIMAG30R-AUDEN</t>
  </si>
  <si>
    <t>SIMAG30R-ID-CARTELLA</t>
  </si>
  <si>
    <t>SIMAG30R-COD-PROF</t>
  </si>
  <si>
    <t>SIMAG30R-CARROZ-PROV</t>
  </si>
  <si>
    <t>SIMAG30R-CARROZ-C-ANIA</t>
  </si>
  <si>
    <t>SIMAG30R-LEGALE-DATA</t>
  </si>
  <si>
    <t>SIMAG30R-CARROZ-PRIORITA</t>
  </si>
  <si>
    <t>SIMAG30R-CNT-SIN</t>
  </si>
  <si>
    <t>SIMAG30R-FLAG-CG</t>
  </si>
  <si>
    <t>SIMAG30R-FLAG-CD</t>
  </si>
  <si>
    <t>SIMAG30R-FLAG-NC</t>
  </si>
  <si>
    <t>SIMAG30R-NC-PAG-AL-S</t>
  </si>
  <si>
    <t>SIMAG30R-PAG-NC-AL</t>
  </si>
  <si>
    <t>SIMAG30R-NC-PAG-DEL-S</t>
  </si>
  <si>
    <t>SIMAG30R-PAG-NC-DEL</t>
  </si>
  <si>
    <t>SIMAG30R-CARD-PAG-AL-S</t>
  </si>
  <si>
    <t>SIMAG30R-PAG-CARD-AL</t>
  </si>
  <si>
    <t>SIMAG30R-CARD-PAG-DEL-S</t>
  </si>
  <si>
    <t>SIMAG30R-PAG-CARD-DEL</t>
  </si>
  <si>
    <t>SIMAG30R-AG-MADRE</t>
  </si>
  <si>
    <t>SIMAG30R-DT-APE-SIN</t>
  </si>
  <si>
    <t>SIMAG30R-FLAG-LEGALE</t>
  </si>
  <si>
    <t>SIMAG30R-TIPO-DENUNCIA</t>
  </si>
  <si>
    <t>SIMAG30R-FLAG-SIN-CANALIZ</t>
  </si>
  <si>
    <t>SIMAG30R-COD-CARR-PAG</t>
  </si>
  <si>
    <t>SIMAG30R-COD-CARR-CANALIZ</t>
  </si>
  <si>
    <t>SIMAG30R-PREV-STAT</t>
  </si>
  <si>
    <t>SIMAG30R-SETTORE-TARIFFAZ</t>
  </si>
  <si>
    <t>SIMAG30R-TIPO-RAMO</t>
  </si>
  <si>
    <t>SIMAG30R-LESIONI</t>
  </si>
  <si>
    <t>SIMAG30R-MORTI</t>
  </si>
  <si>
    <t>SIMAG30R-BAR1-A</t>
  </si>
  <si>
    <t>SIMAG30R-BAR1-B</t>
  </si>
  <si>
    <t>SIMAG30R-BAR2-A</t>
  </si>
  <si>
    <t>SIMAG30R-BAR2-B</t>
  </si>
  <si>
    <t>SIMAG30R-FRANCHIGIE-S</t>
  </si>
  <si>
    <t>SIMAG30R-IMP-FRANCHIGIE</t>
  </si>
  <si>
    <t>SIMAG30R-RIVALSE-S</t>
  </si>
  <si>
    <t>SIMAG30R-IMP-RIVALSE</t>
  </si>
  <si>
    <t>SIMAG30R-ALTRO-S</t>
  </si>
  <si>
    <t>SIMAG30R-IMP-ALTRO</t>
  </si>
  <si>
    <t>SIMAG30R-FRANCH-AL-S</t>
  </si>
  <si>
    <t>SIMAG30R-IMP-FRANCH-AL</t>
  </si>
  <si>
    <t>SIMAG30R-FRANCH-DEL-S</t>
  </si>
  <si>
    <t>SIMAG30R-IMP-FRANCH-DEL</t>
  </si>
  <si>
    <t>SIMAG30R-RIVALSE-AL-S</t>
  </si>
  <si>
    <t>SIMAG30R-IMP-RIVALSE-AL</t>
  </si>
  <si>
    <t>SIMAG30R-RIVALSE-DEL-S</t>
  </si>
  <si>
    <t>SIMAG30R-IMP-RIVALSE-DEL</t>
  </si>
  <si>
    <t>SIMAG30R-ALTRO-AL-S</t>
  </si>
  <si>
    <t>SIMAG30R-IMP-ALTRO-AL</t>
  </si>
  <si>
    <t>SIMAG30R-ALTRO-DEL-S</t>
  </si>
  <si>
    <t>SIMAG30R-IMP-ALTRO-DEL</t>
  </si>
  <si>
    <t>SIMAG30R-SPESE-AL-S</t>
  </si>
  <si>
    <t>SIMAG30R-IMP-SPESE-AL</t>
  </si>
  <si>
    <t>SIMAG30R-SPESE-DEL-S</t>
  </si>
  <si>
    <t>SIMAG30R-IMP-SPESE-DEL</t>
  </si>
  <si>
    <t>SIMAG30R-IMP-RISERVA</t>
  </si>
  <si>
    <t>SIMAG30R-FLGA-REG-CONTRAT</t>
  </si>
  <si>
    <t>SIMAG30R-FLGA-REG-AMMINIST</t>
  </si>
  <si>
    <t>SIMAG30R-FORFPAG-CD-AL-S</t>
  </si>
  <si>
    <t>SIMAG30R-IMP-FORFPAG-CD-AL</t>
  </si>
  <si>
    <t>SIMAG30R-FORFPAG-CD-DEL-S</t>
  </si>
  <si>
    <t>SIMAG30R-IMP-FORFPAG-CD-DEL</t>
  </si>
  <si>
    <t>SIMAG30R-FORFPAG-CG-AL-S</t>
  </si>
  <si>
    <t>SIMAG30R-IMP-FORFPAG-CG-AL</t>
  </si>
  <si>
    <t>SIMAG30R-FORFPAG-CG-DEL-S</t>
  </si>
  <si>
    <t>SIMAG30R-IMP-FORFPAG-CG-DEL</t>
  </si>
  <si>
    <t>SIMAG30R-CG-DA-COMP-S</t>
  </si>
  <si>
    <t>SIMAG30R-IMP-CG-DA-COMP</t>
  </si>
  <si>
    <t>SIMAG30R-CD-DA-COMP-S</t>
  </si>
  <si>
    <t>SIMAG30R-IMP-CD-DA-COMP</t>
  </si>
  <si>
    <t>SIMAG30R-COMPNEW</t>
  </si>
  <si>
    <t>SIMAG30R-SSISTBILA</t>
  </si>
  <si>
    <t>SIMAG30R-SSIDTBILA</t>
  </si>
  <si>
    <t>SIMAG30R-SSICTBILA</t>
  </si>
  <si>
    <t>SIMAG30R-SSISTTECN</t>
  </si>
  <si>
    <t>SIMAG30R-SSIDTTECN</t>
  </si>
  <si>
    <t>SIMAG30R-SSICTTECN</t>
  </si>
  <si>
    <t>SIMAG30R-SSISTAMMI</t>
  </si>
  <si>
    <t>SIMAG30R-SSIDTAMMI</t>
  </si>
  <si>
    <t>SIMAG30R-SSICTAMMI</t>
  </si>
  <si>
    <t>SIMAG30R-SSISTRECU</t>
  </si>
  <si>
    <t>SIMAG30R-SSIDTRECU</t>
  </si>
  <si>
    <t>SIMAG30R-SSICTRECU</t>
  </si>
  <si>
    <t>SIMAG30R-SSISTFORF</t>
  </si>
  <si>
    <t>SIMAG30R-SSIDTFORF</t>
  </si>
  <si>
    <t>SIMAG30R-SSICTFORF</t>
  </si>
  <si>
    <t>SIMAG30R-COD-PROF-SAP</t>
  </si>
  <si>
    <t>Data avvenimento sinistro (GG-MM-AAAA)</t>
  </si>
  <si>
    <t>Data protocollo/carico  (GG-MM-AAAA)</t>
  </si>
  <si>
    <t>Data ultimo pagamento (GG-MM-AAAA)</t>
  </si>
  <si>
    <t>Data ricevimento denuncia (GG-MM-AAAA)</t>
  </si>
  <si>
    <t>Data intervento del legale (GG-MM-AAAA)</t>
  </si>
  <si>
    <t>Data apertura sinistro (GG-MM-AAAA)</t>
  </si>
  <si>
    <t>Data denuncia (GG-MM-AAAA)</t>
  </si>
  <si>
    <t>Tipo sinistro esteso</t>
  </si>
  <si>
    <t>sostituisce il campo SIMAG30R-TSIN1</t>
  </si>
  <si>
    <t>SIMAG30R-TSIN1-NUM</t>
  </si>
  <si>
    <t>91 = elaborazione settimanale
92 = elaborazione mensile
99 = elaborazione giornaliera</t>
  </si>
  <si>
    <t xml:space="preserve">Data di competenza elaborazione </t>
  </si>
  <si>
    <t>(formato AAAAMMGG)</t>
  </si>
  <si>
    <t>Note per Claims Center (CC) Liquido</t>
  </si>
  <si>
    <t>NOTA BENE: il tracciato record è lo stesso dei sinistri settimanali e mensili. Nel caso dei sinistri giornalieri vengono valorizzati solamente i campi evidenziati in verde.</t>
  </si>
  <si>
    <t>0000000 se sinistro giornaliero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</si>
</sst>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color indexed="62"/>
      <name val="Arial"/>
      <family val="2"/>
    </font>
    <font>
      <strike/>
      <sz val="10"/>
      <name val="Arial"/>
      <family val="2"/>
    </font>
    <font>
      <sz val="10"/>
      <color indexed="10"/>
      <name val="Arial"/>
      <family val="2"/>
    </font>
    <font>
      <sz val="12"/>
      <color indexed="8"/>
      <name val="MS Sans Serif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BFC2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49" fontId="0" fillId="0" borderId="0" xfId="0" applyNumberFormat="1" applyAlignment="1">
      <alignment horizontal="center" wrapText="1"/>
    </xf>
    <xf numFmtId="0" fontId="5" fillId="0" borderId="0" xfId="0" applyFont="1" applyFill="1"/>
    <xf numFmtId="0" fontId="0" fillId="0" borderId="0" xfId="0" applyFill="1"/>
    <xf numFmtId="0" fontId="0" fillId="0" borderId="1" xfId="0" applyFill="1" applyBorder="1" applyAlignment="1">
      <alignment wrapText="1"/>
    </xf>
    <xf numFmtId="0" fontId="0" fillId="0" borderId="1" xfId="0" applyFill="1" applyBorder="1"/>
    <xf numFmtId="49" fontId="0" fillId="0" borderId="1" xfId="0" applyNumberFormat="1" applyFill="1" applyBorder="1" applyAlignment="1">
      <alignment wrapText="1"/>
    </xf>
    <xf numFmtId="49" fontId="0" fillId="0" borderId="1" xfId="0" applyNumberFormat="1" applyFill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49" fontId="0" fillId="0" borderId="1" xfId="0" quotePrefix="1" applyNumberFormat="1" applyFill="1" applyBorder="1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9" fillId="0" borderId="1" xfId="0" applyFont="1" applyFill="1" applyBorder="1"/>
    <xf numFmtId="49" fontId="9" fillId="0" borderId="1" xfId="0" applyNumberFormat="1" applyFont="1" applyFill="1" applyBorder="1" applyAlignment="1">
      <alignment wrapText="1"/>
    </xf>
    <xf numFmtId="49" fontId="9" fillId="0" borderId="1" xfId="0" applyNumberFormat="1" applyFont="1" applyFill="1" applyBorder="1" applyAlignment="1">
      <alignment horizontal="center" wrapText="1"/>
    </xf>
    <xf numFmtId="0" fontId="9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9" fillId="0" borderId="1" xfId="0" applyNumberFormat="1" applyFont="1" applyFill="1" applyBorder="1" applyAlignment="1">
      <alignment wrapText="1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wrapText="1"/>
    </xf>
    <xf numFmtId="0" fontId="1" fillId="0" borderId="1" xfId="0" applyFont="1" applyFill="1" applyBorder="1"/>
    <xf numFmtId="49" fontId="1" fillId="0" borderId="1" xfId="0" applyNumberFormat="1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0" fillId="3" borderId="1" xfId="0" applyFill="1" applyBorder="1" applyAlignment="1">
      <alignment vertical="top"/>
    </xf>
    <xf numFmtId="0" fontId="0" fillId="3" borderId="1" xfId="0" applyNumberFormat="1" applyFill="1" applyBorder="1" applyAlignment="1">
      <alignment vertical="top" wrapText="1"/>
    </xf>
    <xf numFmtId="49" fontId="0" fillId="3" borderId="1" xfId="0" applyNumberFormat="1" applyFill="1" applyBorder="1" applyAlignment="1">
      <alignment horizontal="center" vertical="top" wrapText="1"/>
    </xf>
    <xf numFmtId="49" fontId="1" fillId="0" borderId="1" xfId="0" applyNumberFormat="1" applyFont="1" applyFill="1" applyBorder="1" applyAlignment="1">
      <alignment horizontal="center" wrapText="1"/>
    </xf>
    <xf numFmtId="0" fontId="8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49" fontId="3" fillId="0" borderId="1" xfId="0" applyNumberFormat="1" applyFont="1" applyFill="1" applyBorder="1" applyAlignment="1">
      <alignment wrapText="1"/>
    </xf>
    <xf numFmtId="0" fontId="5" fillId="0" borderId="1" xfId="0" applyFont="1" applyFill="1" applyBorder="1"/>
    <xf numFmtId="0" fontId="7" fillId="0" borderId="0" xfId="0" applyFont="1" applyFill="1"/>
    <xf numFmtId="0" fontId="6" fillId="0" borderId="0" xfId="0" applyFont="1" applyFill="1"/>
    <xf numFmtId="0" fontId="0" fillId="4" borderId="0" xfId="0" applyFill="1" applyAlignment="1">
      <alignment vertical="top" wrapText="1"/>
    </xf>
    <xf numFmtId="0" fontId="0" fillId="4" borderId="1" xfId="0" applyFill="1" applyBorder="1" applyAlignment="1">
      <alignment vertical="top"/>
    </xf>
    <xf numFmtId="49" fontId="0" fillId="4" borderId="1" xfId="0" applyNumberForma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5" borderId="1" xfId="0" applyFill="1" applyBorder="1" applyAlignment="1">
      <alignment wrapText="1"/>
    </xf>
    <xf numFmtId="0" fontId="0" fillId="5" borderId="1" xfId="0" applyFill="1" applyBorder="1"/>
    <xf numFmtId="49" fontId="0" fillId="5" borderId="1" xfId="0" applyNumberFormat="1" applyFill="1" applyBorder="1" applyAlignment="1">
      <alignment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 wrapText="1"/>
    </xf>
    <xf numFmtId="0" fontId="0" fillId="4" borderId="1" xfId="0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wrapText="1"/>
    </xf>
    <xf numFmtId="0" fontId="9" fillId="4" borderId="1" xfId="0" applyFont="1" applyFill="1" applyBorder="1"/>
    <xf numFmtId="0" fontId="1" fillId="4" borderId="1" xfId="0" applyFont="1" applyFill="1" applyBorder="1"/>
    <xf numFmtId="49" fontId="1" fillId="4" borderId="1" xfId="0" applyNumberFormat="1" applyFont="1" applyFill="1" applyBorder="1" applyAlignment="1">
      <alignment wrapText="1"/>
    </xf>
    <xf numFmtId="0" fontId="11" fillId="2" borderId="2" xfId="0" applyFont="1" applyFill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8BFC2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63"/>
  <sheetViews>
    <sheetView tabSelected="1" workbookViewId="0">
      <pane xSplit="1" ySplit="2" topLeftCell="B143" activePane="bottomRight" state="frozen"/>
      <selection pane="topRight" activeCell="B1" sqref="B1"/>
      <selection pane="bottomLeft" activeCell="A2" sqref="A2"/>
      <selection pane="bottomRight" activeCell="E159" sqref="E159"/>
    </sheetView>
  </sheetViews>
  <sheetFormatPr defaultRowHeight="12.75" x14ac:dyDescent="0.2"/>
  <cols>
    <col min="1" max="1" width="43.140625" style="2" bestFit="1" customWidth="1"/>
    <col min="3" max="3" width="14.42578125" bestFit="1" customWidth="1"/>
    <col min="5" max="5" width="41.28515625" style="1" customWidth="1"/>
    <col min="6" max="6" width="23" style="4" customWidth="1"/>
    <col min="7" max="7" width="31.85546875" bestFit="1" customWidth="1"/>
    <col min="8" max="8" width="74.42578125" style="2" customWidth="1"/>
  </cols>
  <sheetData>
    <row r="1" spans="1:8" ht="16.5" customHeight="1" x14ac:dyDescent="0.2">
      <c r="A1" s="61" t="s">
        <v>366</v>
      </c>
      <c r="B1" s="61"/>
      <c r="C1" s="61"/>
      <c r="D1" s="61"/>
      <c r="E1" s="61"/>
      <c r="F1" s="61"/>
      <c r="G1" s="61"/>
      <c r="H1" s="61"/>
    </row>
    <row r="2" spans="1:8" s="3" customFormat="1" ht="31.5" x14ac:dyDescent="0.25">
      <c r="A2" s="55" t="s">
        <v>4</v>
      </c>
      <c r="B2" s="56" t="s">
        <v>0</v>
      </c>
      <c r="C2" s="56" t="s">
        <v>7</v>
      </c>
      <c r="D2" s="56" t="s">
        <v>1</v>
      </c>
      <c r="E2" s="54" t="s">
        <v>58</v>
      </c>
      <c r="F2" s="54" t="s">
        <v>62</v>
      </c>
      <c r="G2" s="54" t="s">
        <v>59</v>
      </c>
      <c r="H2" s="54" t="s">
        <v>365</v>
      </c>
    </row>
    <row r="3" spans="1:8" s="6" customFormat="1" x14ac:dyDescent="0.2">
      <c r="A3" s="42" t="s">
        <v>363</v>
      </c>
      <c r="B3" s="43" t="s">
        <v>3</v>
      </c>
      <c r="C3" s="43">
        <v>8</v>
      </c>
      <c r="D3" s="43">
        <v>1</v>
      </c>
      <c r="E3" s="44" t="s">
        <v>364</v>
      </c>
      <c r="F3" s="10" t="s">
        <v>63</v>
      </c>
      <c r="G3" s="48" t="s">
        <v>205</v>
      </c>
      <c r="H3" s="7"/>
    </row>
    <row r="4" spans="1:8" s="6" customFormat="1" ht="23.25" customHeight="1" x14ac:dyDescent="0.2">
      <c r="A4" s="45" t="s">
        <v>197</v>
      </c>
      <c r="B4" s="46" t="s">
        <v>3</v>
      </c>
      <c r="C4" s="46">
        <v>5</v>
      </c>
      <c r="D4" s="46">
        <f t="shared" ref="D4:D67" si="0">D3+C3</f>
        <v>9</v>
      </c>
      <c r="E4" s="44"/>
      <c r="F4" s="10" t="s">
        <v>63</v>
      </c>
      <c r="G4" s="48" t="s">
        <v>206</v>
      </c>
      <c r="H4" s="7"/>
    </row>
    <row r="5" spans="1:8" s="6" customFormat="1" ht="12.75" customHeight="1" x14ac:dyDescent="0.2">
      <c r="A5" s="45" t="s">
        <v>198</v>
      </c>
      <c r="B5" s="46" t="s">
        <v>3</v>
      </c>
      <c r="C5" s="46">
        <v>2</v>
      </c>
      <c r="D5" s="46">
        <f t="shared" si="0"/>
        <v>14</v>
      </c>
      <c r="E5" s="44" t="s">
        <v>115</v>
      </c>
      <c r="F5" s="10" t="s">
        <v>63</v>
      </c>
      <c r="G5" s="48" t="s">
        <v>207</v>
      </c>
      <c r="H5" s="7"/>
    </row>
    <row r="6" spans="1:8" s="6" customFormat="1" ht="45" customHeight="1" x14ac:dyDescent="0.2">
      <c r="A6" s="50" t="s">
        <v>199</v>
      </c>
      <c r="B6" s="51" t="s">
        <v>3</v>
      </c>
      <c r="C6" s="53">
        <v>2</v>
      </c>
      <c r="D6" s="53">
        <f t="shared" si="0"/>
        <v>16</v>
      </c>
      <c r="E6" s="52" t="s">
        <v>362</v>
      </c>
      <c r="F6" s="10" t="s">
        <v>63</v>
      </c>
      <c r="G6" s="48" t="s">
        <v>208</v>
      </c>
      <c r="H6" s="7"/>
    </row>
    <row r="7" spans="1:8" s="6" customFormat="1" x14ac:dyDescent="0.2">
      <c r="A7" s="45" t="s">
        <v>5</v>
      </c>
      <c r="B7" s="46" t="s">
        <v>3</v>
      </c>
      <c r="C7" s="46">
        <v>4</v>
      </c>
      <c r="D7" s="46">
        <f t="shared" si="0"/>
        <v>18</v>
      </c>
      <c r="E7" s="44"/>
      <c r="F7" s="10" t="s">
        <v>63</v>
      </c>
      <c r="G7" s="8" t="s">
        <v>209</v>
      </c>
      <c r="H7" s="7"/>
    </row>
    <row r="8" spans="1:8" s="6" customFormat="1" x14ac:dyDescent="0.2">
      <c r="A8" s="45" t="s">
        <v>6</v>
      </c>
      <c r="B8" s="46" t="s">
        <v>3</v>
      </c>
      <c r="C8" s="46">
        <v>4</v>
      </c>
      <c r="D8" s="46">
        <f t="shared" si="0"/>
        <v>22</v>
      </c>
      <c r="E8" s="44"/>
      <c r="F8" s="10" t="s">
        <v>63</v>
      </c>
      <c r="G8" s="8" t="s">
        <v>210</v>
      </c>
      <c r="H8" s="7"/>
    </row>
    <row r="9" spans="1:8" s="6" customFormat="1" x14ac:dyDescent="0.2">
      <c r="A9" s="45" t="s">
        <v>8</v>
      </c>
      <c r="B9" s="46" t="s">
        <v>3</v>
      </c>
      <c r="C9" s="46">
        <v>3</v>
      </c>
      <c r="D9" s="46">
        <f t="shared" si="0"/>
        <v>26</v>
      </c>
      <c r="E9" s="44"/>
      <c r="F9" s="10" t="s">
        <v>63</v>
      </c>
      <c r="G9" s="8" t="s">
        <v>211</v>
      </c>
      <c r="H9" s="7"/>
    </row>
    <row r="10" spans="1:8" s="6" customFormat="1" x14ac:dyDescent="0.2">
      <c r="A10" s="45" t="s">
        <v>9</v>
      </c>
      <c r="B10" s="46" t="s">
        <v>3</v>
      </c>
      <c r="C10" s="46">
        <v>7</v>
      </c>
      <c r="D10" s="46">
        <f t="shared" si="0"/>
        <v>29</v>
      </c>
      <c r="E10" s="44"/>
      <c r="F10" s="10" t="s">
        <v>63</v>
      </c>
      <c r="G10" s="8" t="s">
        <v>212</v>
      </c>
      <c r="H10" s="7"/>
    </row>
    <row r="11" spans="1:8" s="6" customFormat="1" x14ac:dyDescent="0.2">
      <c r="A11" s="45" t="s">
        <v>10</v>
      </c>
      <c r="B11" s="46" t="s">
        <v>3</v>
      </c>
      <c r="C11" s="46">
        <v>5</v>
      </c>
      <c r="D11" s="46">
        <f t="shared" si="0"/>
        <v>36</v>
      </c>
      <c r="E11" s="44"/>
      <c r="F11" s="10" t="s">
        <v>63</v>
      </c>
      <c r="G11" s="8" t="s">
        <v>213</v>
      </c>
      <c r="H11" s="7"/>
    </row>
    <row r="12" spans="1:8" s="6" customFormat="1" x14ac:dyDescent="0.2">
      <c r="A12" s="45" t="s">
        <v>11</v>
      </c>
      <c r="B12" s="46" t="s">
        <v>3</v>
      </c>
      <c r="C12" s="46">
        <v>5</v>
      </c>
      <c r="D12" s="46">
        <f t="shared" si="0"/>
        <v>41</v>
      </c>
      <c r="E12" s="44"/>
      <c r="F12" s="10" t="s">
        <v>63</v>
      </c>
      <c r="G12" s="8" t="s">
        <v>214</v>
      </c>
      <c r="H12" s="7"/>
    </row>
    <row r="13" spans="1:8" s="6" customFormat="1" x14ac:dyDescent="0.2">
      <c r="A13" s="45" t="s">
        <v>12</v>
      </c>
      <c r="B13" s="46" t="s">
        <v>3</v>
      </c>
      <c r="C13" s="46">
        <v>3</v>
      </c>
      <c r="D13" s="46">
        <f t="shared" si="0"/>
        <v>46</v>
      </c>
      <c r="E13" s="44"/>
      <c r="F13" s="10" t="s">
        <v>63</v>
      </c>
      <c r="G13" s="8" t="s">
        <v>215</v>
      </c>
      <c r="H13" s="7"/>
    </row>
    <row r="14" spans="1:8" s="6" customFormat="1" x14ac:dyDescent="0.2">
      <c r="A14" s="45" t="s">
        <v>13</v>
      </c>
      <c r="B14" s="46" t="s">
        <v>3</v>
      </c>
      <c r="C14" s="46">
        <v>9</v>
      </c>
      <c r="D14" s="46">
        <f t="shared" si="0"/>
        <v>49</v>
      </c>
      <c r="E14" s="44"/>
      <c r="F14" s="10" t="s">
        <v>63</v>
      </c>
      <c r="G14" s="8" t="s">
        <v>216</v>
      </c>
      <c r="H14" s="7"/>
    </row>
    <row r="15" spans="1:8" s="6" customFormat="1" x14ac:dyDescent="0.2">
      <c r="A15" s="47" t="s">
        <v>200</v>
      </c>
      <c r="B15" s="48" t="s">
        <v>194</v>
      </c>
      <c r="C15" s="48">
        <v>7</v>
      </c>
      <c r="D15" s="48">
        <f t="shared" si="0"/>
        <v>58</v>
      </c>
      <c r="E15" s="49"/>
      <c r="F15" s="10"/>
      <c r="G15" s="48" t="s">
        <v>217</v>
      </c>
      <c r="H15" s="7"/>
    </row>
    <row r="16" spans="1:8" s="6" customFormat="1" x14ac:dyDescent="0.2">
      <c r="A16" s="7" t="s">
        <v>14</v>
      </c>
      <c r="B16" s="8" t="s">
        <v>3</v>
      </c>
      <c r="C16" s="8">
        <v>3</v>
      </c>
      <c r="D16" s="8">
        <f t="shared" si="0"/>
        <v>65</v>
      </c>
      <c r="E16" s="9"/>
      <c r="F16" s="10" t="s">
        <v>63</v>
      </c>
      <c r="G16" s="8" t="s">
        <v>218</v>
      </c>
      <c r="H16" s="7"/>
    </row>
    <row r="17" spans="1:8" s="6" customFormat="1" x14ac:dyDescent="0.2">
      <c r="A17" s="7" t="s">
        <v>15</v>
      </c>
      <c r="B17" s="8" t="s">
        <v>3</v>
      </c>
      <c r="C17" s="8">
        <v>7</v>
      </c>
      <c r="D17" s="8">
        <f t="shared" si="0"/>
        <v>68</v>
      </c>
      <c r="E17" s="9"/>
      <c r="F17" s="10" t="s">
        <v>63</v>
      </c>
      <c r="G17" s="8" t="s">
        <v>219</v>
      </c>
      <c r="H17" s="7"/>
    </row>
    <row r="18" spans="1:8" s="6" customFormat="1" x14ac:dyDescent="0.2">
      <c r="A18" s="45" t="s">
        <v>352</v>
      </c>
      <c r="B18" s="46" t="s">
        <v>3</v>
      </c>
      <c r="C18" s="46">
        <v>10</v>
      </c>
      <c r="D18" s="46">
        <f>D17+C17</f>
        <v>75</v>
      </c>
      <c r="E18" s="44"/>
      <c r="F18" s="10" t="s">
        <v>63</v>
      </c>
      <c r="G18" s="8" t="s">
        <v>220</v>
      </c>
      <c r="H18" s="7"/>
    </row>
    <row r="19" spans="1:8" s="6" customFormat="1" x14ac:dyDescent="0.2">
      <c r="A19" s="45" t="s">
        <v>358</v>
      </c>
      <c r="B19" s="46" t="s">
        <v>3</v>
      </c>
      <c r="C19" s="46">
        <v>10</v>
      </c>
      <c r="D19" s="46">
        <f t="shared" si="0"/>
        <v>85</v>
      </c>
      <c r="E19" s="44"/>
      <c r="F19" s="10" t="s">
        <v>63</v>
      </c>
      <c r="G19" s="8" t="s">
        <v>221</v>
      </c>
      <c r="H19" s="7"/>
    </row>
    <row r="20" spans="1:8" s="6" customFormat="1" x14ac:dyDescent="0.2">
      <c r="A20" s="7" t="s">
        <v>353</v>
      </c>
      <c r="B20" s="8" t="s">
        <v>3</v>
      </c>
      <c r="C20" s="8">
        <v>10</v>
      </c>
      <c r="D20" s="8">
        <f t="shared" si="0"/>
        <v>95</v>
      </c>
      <c r="E20" s="9"/>
      <c r="F20" s="10" t="s">
        <v>63</v>
      </c>
      <c r="G20" s="8" t="s">
        <v>222</v>
      </c>
      <c r="H20" s="7"/>
    </row>
    <row r="21" spans="1:8" s="6" customFormat="1" x14ac:dyDescent="0.2">
      <c r="A21" s="47" t="s">
        <v>195</v>
      </c>
      <c r="B21" s="48" t="s">
        <v>3</v>
      </c>
      <c r="C21" s="48">
        <v>3</v>
      </c>
      <c r="D21" s="48">
        <f t="shared" si="0"/>
        <v>105</v>
      </c>
      <c r="E21" s="49"/>
      <c r="F21" s="10"/>
      <c r="G21" s="48" t="s">
        <v>223</v>
      </c>
      <c r="H21" s="7"/>
    </row>
    <row r="22" spans="1:8" s="6" customFormat="1" x14ac:dyDescent="0.2">
      <c r="A22" s="45" t="s">
        <v>196</v>
      </c>
      <c r="B22" s="46" t="s">
        <v>3</v>
      </c>
      <c r="C22" s="46">
        <v>3</v>
      </c>
      <c r="D22" s="46">
        <f>D21+C21</f>
        <v>108</v>
      </c>
      <c r="E22" s="44"/>
      <c r="F22" s="10"/>
      <c r="G22" s="48" t="s">
        <v>224</v>
      </c>
      <c r="H22" s="7"/>
    </row>
    <row r="23" spans="1:8" s="6" customFormat="1" x14ac:dyDescent="0.2">
      <c r="A23" s="47" t="s">
        <v>201</v>
      </c>
      <c r="B23" s="48" t="s">
        <v>3</v>
      </c>
      <c r="C23" s="48">
        <v>3</v>
      </c>
      <c r="D23" s="48">
        <f t="shared" si="0"/>
        <v>111</v>
      </c>
      <c r="E23" s="49"/>
      <c r="F23" s="10"/>
      <c r="G23" s="48" t="s">
        <v>225</v>
      </c>
      <c r="H23" s="7"/>
    </row>
    <row r="24" spans="1:8" s="6" customFormat="1" ht="38.25" x14ac:dyDescent="0.2">
      <c r="A24" s="7" t="s">
        <v>16</v>
      </c>
      <c r="B24" s="8" t="s">
        <v>3</v>
      </c>
      <c r="C24" s="8">
        <v>1</v>
      </c>
      <c r="D24" s="8">
        <f t="shared" si="0"/>
        <v>114</v>
      </c>
      <c r="E24" s="9" t="s">
        <v>17</v>
      </c>
      <c r="F24" s="10" t="s">
        <v>63</v>
      </c>
      <c r="G24" s="8" t="s">
        <v>226</v>
      </c>
      <c r="H24" s="11" t="s">
        <v>2</v>
      </c>
    </row>
    <row r="25" spans="1:8" s="6" customFormat="1" ht="25.5" x14ac:dyDescent="0.2">
      <c r="A25" s="7" t="s">
        <v>18</v>
      </c>
      <c r="B25" s="8" t="s">
        <v>3</v>
      </c>
      <c r="C25" s="8">
        <v>2</v>
      </c>
      <c r="D25" s="8">
        <f t="shared" si="0"/>
        <v>115</v>
      </c>
      <c r="E25" s="12" t="s">
        <v>192</v>
      </c>
      <c r="F25" s="10" t="s">
        <v>63</v>
      </c>
      <c r="G25" s="8" t="s">
        <v>227</v>
      </c>
      <c r="H25" s="11" t="s">
        <v>181</v>
      </c>
    </row>
    <row r="26" spans="1:8" s="6" customFormat="1" x14ac:dyDescent="0.2">
      <c r="A26" s="7" t="s">
        <v>19</v>
      </c>
      <c r="B26" s="8" t="s">
        <v>3</v>
      </c>
      <c r="C26" s="8">
        <v>2</v>
      </c>
      <c r="D26" s="8">
        <f t="shared" si="0"/>
        <v>117</v>
      </c>
      <c r="E26" s="9"/>
      <c r="F26" s="10" t="s">
        <v>63</v>
      </c>
      <c r="G26" s="8" t="s">
        <v>228</v>
      </c>
      <c r="H26" s="11" t="s">
        <v>164</v>
      </c>
    </row>
    <row r="27" spans="1:8" s="6" customFormat="1" ht="25.5" x14ac:dyDescent="0.2">
      <c r="A27" s="7" t="s">
        <v>20</v>
      </c>
      <c r="B27" s="8" t="s">
        <v>3</v>
      </c>
      <c r="C27" s="8">
        <v>1</v>
      </c>
      <c r="D27" s="8">
        <f t="shared" si="0"/>
        <v>119</v>
      </c>
      <c r="E27" s="9" t="s">
        <v>21</v>
      </c>
      <c r="F27" s="10" t="s">
        <v>64</v>
      </c>
      <c r="G27" s="8" t="s">
        <v>229</v>
      </c>
      <c r="H27" s="7"/>
    </row>
    <row r="28" spans="1:8" s="6" customFormat="1" x14ac:dyDescent="0.2">
      <c r="A28" s="7" t="s">
        <v>22</v>
      </c>
      <c r="B28" s="8" t="s">
        <v>3</v>
      </c>
      <c r="C28" s="8">
        <v>8</v>
      </c>
      <c r="D28" s="8">
        <f t="shared" si="0"/>
        <v>120</v>
      </c>
      <c r="E28" s="9"/>
      <c r="F28" s="10" t="s">
        <v>63</v>
      </c>
      <c r="G28" s="8" t="s">
        <v>230</v>
      </c>
      <c r="H28" s="7"/>
    </row>
    <row r="29" spans="1:8" s="6" customFormat="1" x14ac:dyDescent="0.2">
      <c r="A29" s="7" t="s">
        <v>23</v>
      </c>
      <c r="B29" s="8" t="s">
        <v>3</v>
      </c>
      <c r="C29" s="8">
        <v>16</v>
      </c>
      <c r="D29" s="8">
        <f t="shared" si="0"/>
        <v>128</v>
      </c>
      <c r="E29" s="9" t="s">
        <v>51</v>
      </c>
      <c r="F29" s="10" t="s">
        <v>63</v>
      </c>
      <c r="G29" s="8" t="s">
        <v>231</v>
      </c>
      <c r="H29" s="7"/>
    </row>
    <row r="30" spans="1:8" s="6" customFormat="1" x14ac:dyDescent="0.2">
      <c r="A30" s="7" t="s">
        <v>52</v>
      </c>
      <c r="B30" s="8" t="s">
        <v>3</v>
      </c>
      <c r="C30" s="8">
        <v>1</v>
      </c>
      <c r="D30" s="8">
        <f t="shared" si="0"/>
        <v>144</v>
      </c>
      <c r="E30" s="9"/>
      <c r="F30" s="10" t="s">
        <v>64</v>
      </c>
      <c r="G30" s="8" t="s">
        <v>232</v>
      </c>
      <c r="H30" s="7"/>
    </row>
    <row r="31" spans="1:8" s="6" customFormat="1" ht="64.5" customHeight="1" x14ac:dyDescent="0.2">
      <c r="A31" s="7" t="s">
        <v>65</v>
      </c>
      <c r="B31" s="8" t="s">
        <v>3</v>
      </c>
      <c r="C31" s="8">
        <v>16</v>
      </c>
      <c r="D31" s="8">
        <f t="shared" si="0"/>
        <v>145</v>
      </c>
      <c r="E31" s="9" t="s">
        <v>66</v>
      </c>
      <c r="F31" s="10" t="s">
        <v>64</v>
      </c>
      <c r="G31" s="8" t="s">
        <v>233</v>
      </c>
      <c r="H31" s="7"/>
    </row>
    <row r="32" spans="1:8" s="6" customFormat="1" x14ac:dyDescent="0.2">
      <c r="A32" s="7" t="s">
        <v>53</v>
      </c>
      <c r="B32" s="8" t="s">
        <v>3</v>
      </c>
      <c r="C32" s="8">
        <v>1</v>
      </c>
      <c r="D32" s="8">
        <f t="shared" si="0"/>
        <v>161</v>
      </c>
      <c r="E32" s="9"/>
      <c r="F32" s="10" t="s">
        <v>64</v>
      </c>
      <c r="G32" s="8" t="s">
        <v>234</v>
      </c>
      <c r="H32" s="7"/>
    </row>
    <row r="33" spans="1:8" s="6" customFormat="1" ht="63.75" x14ac:dyDescent="0.2">
      <c r="A33" s="7" t="s">
        <v>69</v>
      </c>
      <c r="B33" s="8" t="s">
        <v>3</v>
      </c>
      <c r="C33" s="8">
        <v>16</v>
      </c>
      <c r="D33" s="8">
        <f t="shared" si="0"/>
        <v>162</v>
      </c>
      <c r="E33" s="9" t="s">
        <v>67</v>
      </c>
      <c r="F33" s="10" t="s">
        <v>64</v>
      </c>
      <c r="G33" s="8" t="s">
        <v>235</v>
      </c>
      <c r="H33" s="7"/>
    </row>
    <row r="34" spans="1:8" s="6" customFormat="1" x14ac:dyDescent="0.2">
      <c r="A34" s="7" t="s">
        <v>60</v>
      </c>
      <c r="B34" s="8" t="s">
        <v>3</v>
      </c>
      <c r="C34" s="8">
        <v>1</v>
      </c>
      <c r="D34" s="8">
        <f t="shared" si="0"/>
        <v>178</v>
      </c>
      <c r="E34" s="9"/>
      <c r="F34" s="10" t="s">
        <v>64</v>
      </c>
      <c r="G34" s="8" t="s">
        <v>236</v>
      </c>
      <c r="H34" s="7"/>
    </row>
    <row r="35" spans="1:8" s="6" customFormat="1" ht="25.5" x14ac:dyDescent="0.2">
      <c r="A35" s="7" t="s">
        <v>68</v>
      </c>
      <c r="B35" s="8" t="s">
        <v>3</v>
      </c>
      <c r="C35" s="8">
        <v>16</v>
      </c>
      <c r="D35" s="8">
        <f t="shared" si="0"/>
        <v>179</v>
      </c>
      <c r="E35" s="9" t="s">
        <v>54</v>
      </c>
      <c r="F35" s="10" t="s">
        <v>64</v>
      </c>
      <c r="G35" s="8" t="s">
        <v>237</v>
      </c>
      <c r="H35" s="7"/>
    </row>
    <row r="36" spans="1:8" s="6" customFormat="1" x14ac:dyDescent="0.2">
      <c r="A36" s="7" t="s">
        <v>61</v>
      </c>
      <c r="B36" s="8" t="s">
        <v>3</v>
      </c>
      <c r="C36" s="8">
        <v>1</v>
      </c>
      <c r="D36" s="8">
        <f t="shared" si="0"/>
        <v>195</v>
      </c>
      <c r="E36" s="9"/>
      <c r="F36" s="10" t="s">
        <v>64</v>
      </c>
      <c r="G36" s="8" t="s">
        <v>238</v>
      </c>
      <c r="H36" s="7"/>
    </row>
    <row r="37" spans="1:8" s="6" customFormat="1" ht="25.5" x14ac:dyDescent="0.2">
      <c r="A37" s="7" t="s">
        <v>70</v>
      </c>
      <c r="B37" s="8" t="s">
        <v>3</v>
      </c>
      <c r="C37" s="8">
        <v>16</v>
      </c>
      <c r="D37" s="8">
        <f t="shared" si="0"/>
        <v>196</v>
      </c>
      <c r="E37" s="9" t="s">
        <v>55</v>
      </c>
      <c r="F37" s="10" t="s">
        <v>64</v>
      </c>
      <c r="G37" s="8" t="s">
        <v>239</v>
      </c>
      <c r="H37" s="7"/>
    </row>
    <row r="38" spans="1:8" s="6" customFormat="1" ht="25.5" x14ac:dyDescent="0.2">
      <c r="A38" s="7" t="s">
        <v>24</v>
      </c>
      <c r="B38" s="8" t="s">
        <v>3</v>
      </c>
      <c r="C38" s="8">
        <v>1</v>
      </c>
      <c r="D38" s="8">
        <f t="shared" si="0"/>
        <v>212</v>
      </c>
      <c r="E38" s="9" t="s">
        <v>25</v>
      </c>
      <c r="F38" s="10" t="s">
        <v>63</v>
      </c>
      <c r="G38" s="8" t="s">
        <v>240</v>
      </c>
      <c r="H38" s="7"/>
    </row>
    <row r="39" spans="1:8" s="6" customFormat="1" x14ac:dyDescent="0.2">
      <c r="A39" s="7" t="s">
        <v>26</v>
      </c>
      <c r="B39" s="8" t="s">
        <v>3</v>
      </c>
      <c r="C39" s="8">
        <v>5</v>
      </c>
      <c r="D39" s="8">
        <f t="shared" si="0"/>
        <v>213</v>
      </c>
      <c r="E39" s="9"/>
      <c r="F39" s="10" t="s">
        <v>63</v>
      </c>
      <c r="G39" s="8" t="s">
        <v>241</v>
      </c>
      <c r="H39" s="7"/>
    </row>
    <row r="40" spans="1:8" s="6" customFormat="1" x14ac:dyDescent="0.2">
      <c r="A40" s="7" t="s">
        <v>27</v>
      </c>
      <c r="B40" s="8" t="s">
        <v>3</v>
      </c>
      <c r="C40" s="8">
        <v>5</v>
      </c>
      <c r="D40" s="8">
        <f t="shared" si="0"/>
        <v>218</v>
      </c>
      <c r="E40" s="9"/>
      <c r="F40" s="10" t="s">
        <v>63</v>
      </c>
      <c r="G40" s="8" t="s">
        <v>242</v>
      </c>
      <c r="H40" s="7"/>
    </row>
    <row r="41" spans="1:8" s="6" customFormat="1" x14ac:dyDescent="0.2">
      <c r="A41" s="7" t="s">
        <v>28</v>
      </c>
      <c r="B41" s="8" t="s">
        <v>3</v>
      </c>
      <c r="C41" s="8">
        <v>20</v>
      </c>
      <c r="D41" s="8">
        <f t="shared" si="0"/>
        <v>223</v>
      </c>
      <c r="E41" s="9"/>
      <c r="F41" s="10" t="s">
        <v>63</v>
      </c>
      <c r="G41" s="8" t="s">
        <v>243</v>
      </c>
      <c r="H41" s="7"/>
    </row>
    <row r="42" spans="1:8" s="6" customFormat="1" x14ac:dyDescent="0.2">
      <c r="A42" s="7" t="s">
        <v>29</v>
      </c>
      <c r="B42" s="8" t="s">
        <v>3</v>
      </c>
      <c r="C42" s="8">
        <v>10</v>
      </c>
      <c r="D42" s="8">
        <f t="shared" si="0"/>
        <v>243</v>
      </c>
      <c r="E42" s="9"/>
      <c r="F42" s="10" t="s">
        <v>63</v>
      </c>
      <c r="G42" s="8" t="s">
        <v>244</v>
      </c>
      <c r="H42" s="7"/>
    </row>
    <row r="43" spans="1:8" s="6" customFormat="1" x14ac:dyDescent="0.2">
      <c r="A43" s="45" t="s">
        <v>30</v>
      </c>
      <c r="B43" s="46" t="s">
        <v>3</v>
      </c>
      <c r="C43" s="46">
        <v>9</v>
      </c>
      <c r="D43" s="46">
        <f>D42+C42</f>
        <v>253</v>
      </c>
      <c r="E43" s="44"/>
      <c r="F43" s="10" t="s">
        <v>63</v>
      </c>
      <c r="G43" s="8" t="s">
        <v>245</v>
      </c>
      <c r="H43" s="7"/>
    </row>
    <row r="44" spans="1:8" s="6" customFormat="1" x14ac:dyDescent="0.2">
      <c r="A44" s="45" t="s">
        <v>31</v>
      </c>
      <c r="B44" s="46" t="s">
        <v>3</v>
      </c>
      <c r="C44" s="46">
        <v>20</v>
      </c>
      <c r="D44" s="46">
        <f t="shared" si="0"/>
        <v>262</v>
      </c>
      <c r="E44" s="44"/>
      <c r="F44" s="10" t="s">
        <v>63</v>
      </c>
      <c r="G44" s="8" t="s">
        <v>246</v>
      </c>
      <c r="H44" s="7"/>
    </row>
    <row r="45" spans="1:8" s="6" customFormat="1" x14ac:dyDescent="0.2">
      <c r="A45" s="45" t="s">
        <v>114</v>
      </c>
      <c r="B45" s="46" t="s">
        <v>3</v>
      </c>
      <c r="C45" s="46">
        <v>10</v>
      </c>
      <c r="D45" s="46">
        <f t="shared" si="0"/>
        <v>282</v>
      </c>
      <c r="E45" s="44"/>
      <c r="F45" s="10"/>
      <c r="G45" s="48" t="s">
        <v>247</v>
      </c>
      <c r="H45" s="7"/>
    </row>
    <row r="46" spans="1:8" s="6" customFormat="1" x14ac:dyDescent="0.2">
      <c r="A46" s="47" t="s">
        <v>202</v>
      </c>
      <c r="B46" s="48" t="s">
        <v>3</v>
      </c>
      <c r="C46" s="48">
        <v>16</v>
      </c>
      <c r="D46" s="48">
        <f t="shared" si="0"/>
        <v>292</v>
      </c>
      <c r="E46" s="49"/>
      <c r="F46" s="10"/>
      <c r="G46" s="48" t="s">
        <v>248</v>
      </c>
      <c r="H46" s="7"/>
    </row>
    <row r="47" spans="1:8" s="6" customFormat="1" x14ac:dyDescent="0.2">
      <c r="A47" s="47" t="s">
        <v>203</v>
      </c>
      <c r="B47" s="48" t="s">
        <v>3</v>
      </c>
      <c r="C47" s="48">
        <v>5</v>
      </c>
      <c r="D47" s="48">
        <f t="shared" si="0"/>
        <v>308</v>
      </c>
      <c r="E47" s="49"/>
      <c r="F47" s="10"/>
      <c r="G47" s="48" t="s">
        <v>249</v>
      </c>
      <c r="H47" s="7"/>
    </row>
    <row r="48" spans="1:8" s="6" customFormat="1" x14ac:dyDescent="0.2">
      <c r="A48" s="45" t="s">
        <v>32</v>
      </c>
      <c r="B48" s="46" t="s">
        <v>3</v>
      </c>
      <c r="C48" s="46">
        <v>10</v>
      </c>
      <c r="D48" s="46">
        <f>D47+C47</f>
        <v>313</v>
      </c>
      <c r="E48" s="44"/>
      <c r="F48" s="10" t="s">
        <v>63</v>
      </c>
      <c r="G48" s="8" t="s">
        <v>250</v>
      </c>
      <c r="H48" s="7"/>
    </row>
    <row r="49" spans="1:8" s="6" customFormat="1" x14ac:dyDescent="0.2">
      <c r="A49" s="45" t="s">
        <v>33</v>
      </c>
      <c r="B49" s="46" t="s">
        <v>3</v>
      </c>
      <c r="C49" s="46">
        <v>1</v>
      </c>
      <c r="D49" s="46">
        <f t="shared" si="0"/>
        <v>323</v>
      </c>
      <c r="E49" s="44" t="s">
        <v>34</v>
      </c>
      <c r="F49" s="10" t="s">
        <v>63</v>
      </c>
      <c r="G49" s="8" t="s">
        <v>251</v>
      </c>
      <c r="H49" s="7"/>
    </row>
    <row r="50" spans="1:8" s="6" customFormat="1" x14ac:dyDescent="0.2">
      <c r="A50" s="7" t="s">
        <v>35</v>
      </c>
      <c r="B50" s="8" t="s">
        <v>3</v>
      </c>
      <c r="C50" s="8">
        <v>5</v>
      </c>
      <c r="D50" s="8">
        <f t="shared" si="0"/>
        <v>324</v>
      </c>
      <c r="E50" s="9"/>
      <c r="F50" s="10" t="s">
        <v>63</v>
      </c>
      <c r="G50" s="8" t="s">
        <v>252</v>
      </c>
      <c r="H50" s="7"/>
    </row>
    <row r="51" spans="1:8" s="6" customFormat="1" x14ac:dyDescent="0.2">
      <c r="A51" s="7" t="s">
        <v>36</v>
      </c>
      <c r="B51" s="8" t="s">
        <v>3</v>
      </c>
      <c r="C51" s="8">
        <v>4</v>
      </c>
      <c r="D51" s="8">
        <f t="shared" si="0"/>
        <v>329</v>
      </c>
      <c r="E51" s="9"/>
      <c r="F51" s="10" t="s">
        <v>64</v>
      </c>
      <c r="G51" s="8" t="s">
        <v>253</v>
      </c>
      <c r="H51" s="7"/>
    </row>
    <row r="52" spans="1:8" s="6" customFormat="1" ht="25.5" x14ac:dyDescent="0.2">
      <c r="A52" s="7" t="s">
        <v>37</v>
      </c>
      <c r="B52" s="8" t="s">
        <v>3</v>
      </c>
      <c r="C52" s="8">
        <v>1</v>
      </c>
      <c r="D52" s="8">
        <f t="shared" si="0"/>
        <v>333</v>
      </c>
      <c r="E52" s="7" t="s">
        <v>38</v>
      </c>
      <c r="F52" s="13" t="s">
        <v>63</v>
      </c>
      <c r="G52" s="8" t="s">
        <v>254</v>
      </c>
      <c r="H52" s="7"/>
    </row>
    <row r="53" spans="1:8" s="6" customFormat="1" x14ac:dyDescent="0.2">
      <c r="A53" s="45" t="s">
        <v>39</v>
      </c>
      <c r="B53" s="46" t="s">
        <v>3</v>
      </c>
      <c r="C53" s="46">
        <v>16</v>
      </c>
      <c r="D53" s="46">
        <f t="shared" si="0"/>
        <v>334</v>
      </c>
      <c r="E53" s="44" t="s">
        <v>2</v>
      </c>
      <c r="F53" s="10" t="s">
        <v>63</v>
      </c>
      <c r="G53" s="8" t="s">
        <v>255</v>
      </c>
      <c r="H53" s="7"/>
    </row>
    <row r="54" spans="1:8" s="6" customFormat="1" x14ac:dyDescent="0.2">
      <c r="A54" s="7" t="s">
        <v>354</v>
      </c>
      <c r="B54" s="8" t="s">
        <v>3</v>
      </c>
      <c r="C54" s="8">
        <v>10</v>
      </c>
      <c r="D54" s="8">
        <f t="shared" si="0"/>
        <v>350</v>
      </c>
      <c r="E54" s="9"/>
      <c r="F54" s="34" t="s">
        <v>64</v>
      </c>
      <c r="G54" s="8" t="s">
        <v>256</v>
      </c>
      <c r="H54" s="7"/>
    </row>
    <row r="55" spans="1:8" s="6" customFormat="1" x14ac:dyDescent="0.2">
      <c r="A55" s="7" t="s">
        <v>355</v>
      </c>
      <c r="B55" s="8" t="s">
        <v>3</v>
      </c>
      <c r="C55" s="8">
        <v>10</v>
      </c>
      <c r="D55" s="8">
        <f t="shared" si="0"/>
        <v>360</v>
      </c>
      <c r="E55" s="9"/>
      <c r="F55" s="10" t="s">
        <v>63</v>
      </c>
      <c r="G55" s="8" t="s">
        <v>257</v>
      </c>
      <c r="H55" s="7"/>
    </row>
    <row r="56" spans="1:8" s="6" customFormat="1" x14ac:dyDescent="0.2">
      <c r="A56" s="45" t="s">
        <v>40</v>
      </c>
      <c r="B56" s="46" t="s">
        <v>3</v>
      </c>
      <c r="C56" s="46">
        <v>5</v>
      </c>
      <c r="D56" s="46">
        <f t="shared" si="0"/>
        <v>370</v>
      </c>
      <c r="E56" s="44"/>
      <c r="F56" s="10" t="s">
        <v>63</v>
      </c>
      <c r="G56" s="8" t="s">
        <v>258</v>
      </c>
      <c r="H56" s="7"/>
    </row>
    <row r="57" spans="1:8" s="6" customFormat="1" ht="25.5" x14ac:dyDescent="0.2">
      <c r="A57" s="7" t="s">
        <v>41</v>
      </c>
      <c r="B57" s="8" t="s">
        <v>3</v>
      </c>
      <c r="C57" s="8">
        <v>1</v>
      </c>
      <c r="D57" s="8">
        <f t="shared" si="0"/>
        <v>375</v>
      </c>
      <c r="E57" s="7" t="s">
        <v>187</v>
      </c>
      <c r="F57" s="13" t="s">
        <v>64</v>
      </c>
      <c r="G57" s="8" t="s">
        <v>259</v>
      </c>
      <c r="H57" s="11" t="s">
        <v>162</v>
      </c>
    </row>
    <row r="58" spans="1:8" s="6" customFormat="1" x14ac:dyDescent="0.2">
      <c r="A58" s="7" t="s">
        <v>42</v>
      </c>
      <c r="B58" s="8" t="s">
        <v>3</v>
      </c>
      <c r="C58" s="8">
        <v>3</v>
      </c>
      <c r="D58" s="8">
        <f t="shared" si="0"/>
        <v>376</v>
      </c>
      <c r="E58" s="9"/>
      <c r="F58" s="10" t="s">
        <v>63</v>
      </c>
      <c r="G58" s="8" t="s">
        <v>260</v>
      </c>
      <c r="H58" s="7"/>
    </row>
    <row r="59" spans="1:8" s="6" customFormat="1" x14ac:dyDescent="0.2">
      <c r="A59" s="7" t="s">
        <v>85</v>
      </c>
      <c r="B59" s="14" t="s">
        <v>3</v>
      </c>
      <c r="C59" s="14">
        <v>1</v>
      </c>
      <c r="D59" s="14">
        <f t="shared" si="0"/>
        <v>379</v>
      </c>
      <c r="E59" s="15" t="s">
        <v>44</v>
      </c>
      <c r="F59" s="16" t="s">
        <v>64</v>
      </c>
      <c r="G59" s="14" t="s">
        <v>261</v>
      </c>
      <c r="H59" s="11" t="s">
        <v>2</v>
      </c>
    </row>
    <row r="60" spans="1:8" s="6" customFormat="1" ht="38.25" x14ac:dyDescent="0.2">
      <c r="A60" s="7" t="s">
        <v>45</v>
      </c>
      <c r="B60" s="14" t="s">
        <v>3</v>
      </c>
      <c r="C60" s="14">
        <v>1</v>
      </c>
      <c r="D60" s="14">
        <f t="shared" si="0"/>
        <v>380</v>
      </c>
      <c r="E60" s="15" t="s">
        <v>84</v>
      </c>
      <c r="F60" s="16" t="s">
        <v>64</v>
      </c>
      <c r="G60" s="14" t="s">
        <v>262</v>
      </c>
      <c r="H60" s="11" t="s">
        <v>2</v>
      </c>
    </row>
    <row r="61" spans="1:8" s="6" customFormat="1" x14ac:dyDescent="0.2">
      <c r="A61" s="7" t="s">
        <v>49</v>
      </c>
      <c r="B61" s="14" t="s">
        <v>3</v>
      </c>
      <c r="C61" s="14">
        <v>1</v>
      </c>
      <c r="D61" s="14">
        <f t="shared" si="0"/>
        <v>381</v>
      </c>
      <c r="E61" s="17" t="s">
        <v>50</v>
      </c>
      <c r="F61" s="18" t="s">
        <v>64</v>
      </c>
      <c r="G61" s="14" t="s">
        <v>263</v>
      </c>
      <c r="H61" s="11" t="s">
        <v>2</v>
      </c>
    </row>
    <row r="62" spans="1:8" s="6" customFormat="1" ht="25.5" x14ac:dyDescent="0.2">
      <c r="A62" s="7" t="s">
        <v>46</v>
      </c>
      <c r="B62" s="8" t="s">
        <v>3</v>
      </c>
      <c r="C62" s="8">
        <v>9</v>
      </c>
      <c r="D62" s="8">
        <f t="shared" si="0"/>
        <v>382</v>
      </c>
      <c r="E62" s="9" t="s">
        <v>2</v>
      </c>
      <c r="F62" s="10" t="s">
        <v>64</v>
      </c>
      <c r="G62" s="8" t="s">
        <v>264</v>
      </c>
      <c r="H62" s="11" t="s">
        <v>184</v>
      </c>
    </row>
    <row r="63" spans="1:8" s="6" customFormat="1" x14ac:dyDescent="0.2">
      <c r="A63" s="7" t="s">
        <v>56</v>
      </c>
      <c r="B63" s="8" t="s">
        <v>3</v>
      </c>
      <c r="C63" s="8">
        <v>5</v>
      </c>
      <c r="D63" s="8">
        <f t="shared" si="0"/>
        <v>391</v>
      </c>
      <c r="E63" s="8" t="s">
        <v>2</v>
      </c>
      <c r="F63" s="10" t="s">
        <v>64</v>
      </c>
      <c r="G63" s="8" t="s">
        <v>265</v>
      </c>
      <c r="H63" s="11" t="s">
        <v>188</v>
      </c>
    </row>
    <row r="64" spans="1:8" s="5" customFormat="1" ht="25.5" x14ac:dyDescent="0.2">
      <c r="A64" s="7" t="s">
        <v>57</v>
      </c>
      <c r="B64" s="19" t="s">
        <v>3</v>
      </c>
      <c r="C64" s="19">
        <v>2</v>
      </c>
      <c r="D64" s="19">
        <f t="shared" si="0"/>
        <v>396</v>
      </c>
      <c r="E64" s="20" t="s">
        <v>2</v>
      </c>
      <c r="F64" s="21" t="s">
        <v>64</v>
      </c>
      <c r="G64" s="19" t="s">
        <v>266</v>
      </c>
      <c r="H64" s="23"/>
    </row>
    <row r="65" spans="1:8" s="6" customFormat="1" x14ac:dyDescent="0.2">
      <c r="A65" s="7" t="s">
        <v>47</v>
      </c>
      <c r="B65" s="8" t="s">
        <v>3</v>
      </c>
      <c r="C65" s="8">
        <v>9</v>
      </c>
      <c r="D65" s="8">
        <f t="shared" si="0"/>
        <v>398</v>
      </c>
      <c r="E65" s="9" t="s">
        <v>2</v>
      </c>
      <c r="F65" s="10" t="s">
        <v>64</v>
      </c>
      <c r="G65" s="8" t="s">
        <v>267</v>
      </c>
      <c r="H65" s="11" t="s">
        <v>185</v>
      </c>
    </row>
    <row r="66" spans="1:8" s="6" customFormat="1" x14ac:dyDescent="0.2">
      <c r="A66" s="22" t="s">
        <v>356</v>
      </c>
      <c r="B66" s="8" t="s">
        <v>3</v>
      </c>
      <c r="C66" s="8">
        <v>10</v>
      </c>
      <c r="D66" s="8">
        <f t="shared" si="0"/>
        <v>407</v>
      </c>
      <c r="E66" s="9" t="s">
        <v>2</v>
      </c>
      <c r="F66" s="10" t="s">
        <v>64</v>
      </c>
      <c r="G66" s="8" t="s">
        <v>268</v>
      </c>
      <c r="H66" s="11"/>
    </row>
    <row r="67" spans="1:8" s="6" customFormat="1" x14ac:dyDescent="0.2">
      <c r="A67" s="7" t="s">
        <v>48</v>
      </c>
      <c r="B67" s="8" t="s">
        <v>3</v>
      </c>
      <c r="C67" s="8">
        <v>2</v>
      </c>
      <c r="D67" s="8">
        <f t="shared" si="0"/>
        <v>417</v>
      </c>
      <c r="E67" s="9" t="s">
        <v>2</v>
      </c>
      <c r="F67" s="10" t="s">
        <v>64</v>
      </c>
      <c r="G67" s="8" t="s">
        <v>269</v>
      </c>
      <c r="H67" s="11" t="s">
        <v>183</v>
      </c>
    </row>
    <row r="68" spans="1:8" s="5" customFormat="1" ht="51" x14ac:dyDescent="0.2">
      <c r="A68" s="22" t="s">
        <v>71</v>
      </c>
      <c r="B68" s="19" t="s">
        <v>3</v>
      </c>
      <c r="C68" s="19">
        <v>7</v>
      </c>
      <c r="D68" s="19">
        <f t="shared" ref="D68:D131" si="1">D67+C67</f>
        <v>419</v>
      </c>
      <c r="E68" s="20" t="s">
        <v>72</v>
      </c>
      <c r="F68" s="21" t="s">
        <v>64</v>
      </c>
      <c r="G68" s="19" t="s">
        <v>270</v>
      </c>
      <c r="H68" s="23"/>
    </row>
    <row r="69" spans="1:8" s="5" customFormat="1" ht="25.5" x14ac:dyDescent="0.2">
      <c r="A69" s="22" t="s">
        <v>74</v>
      </c>
      <c r="B69" s="19" t="s">
        <v>3</v>
      </c>
      <c r="C69" s="19">
        <v>7</v>
      </c>
      <c r="D69" s="19">
        <f t="shared" si="1"/>
        <v>426</v>
      </c>
      <c r="E69" s="20" t="s">
        <v>73</v>
      </c>
      <c r="F69" s="21" t="s">
        <v>64</v>
      </c>
      <c r="G69" s="19" t="s">
        <v>271</v>
      </c>
      <c r="H69" s="23"/>
    </row>
    <row r="70" spans="1:8" s="5" customFormat="1" ht="25.5" x14ac:dyDescent="0.2">
      <c r="A70" s="22" t="s">
        <v>75</v>
      </c>
      <c r="B70" s="19" t="s">
        <v>3</v>
      </c>
      <c r="C70" s="19">
        <v>7</v>
      </c>
      <c r="D70" s="19">
        <f t="shared" si="1"/>
        <v>433</v>
      </c>
      <c r="E70" s="20" t="s">
        <v>73</v>
      </c>
      <c r="F70" s="21" t="s">
        <v>64</v>
      </c>
      <c r="G70" s="19" t="s">
        <v>272</v>
      </c>
      <c r="H70" s="23"/>
    </row>
    <row r="71" spans="1:8" s="5" customFormat="1" ht="25.5" x14ac:dyDescent="0.2">
      <c r="A71" s="22" t="s">
        <v>76</v>
      </c>
      <c r="B71" s="19" t="s">
        <v>3</v>
      </c>
      <c r="C71" s="19">
        <v>7</v>
      </c>
      <c r="D71" s="19">
        <f t="shared" si="1"/>
        <v>440</v>
      </c>
      <c r="E71" s="20" t="s">
        <v>73</v>
      </c>
      <c r="F71" s="21" t="s">
        <v>64</v>
      </c>
      <c r="G71" s="19" t="s">
        <v>273</v>
      </c>
      <c r="H71" s="23"/>
    </row>
    <row r="72" spans="1:8" s="5" customFormat="1" x14ac:dyDescent="0.2">
      <c r="A72" s="22" t="s">
        <v>124</v>
      </c>
      <c r="B72" s="19" t="s">
        <v>3</v>
      </c>
      <c r="C72" s="19">
        <v>1</v>
      </c>
      <c r="D72" s="19">
        <f t="shared" si="1"/>
        <v>447</v>
      </c>
      <c r="E72" s="20"/>
      <c r="F72" s="21" t="s">
        <v>64</v>
      </c>
      <c r="G72" s="19" t="s">
        <v>274</v>
      </c>
      <c r="H72" s="23"/>
    </row>
    <row r="73" spans="1:8" s="5" customFormat="1" ht="25.5" x14ac:dyDescent="0.2">
      <c r="A73" s="22" t="s">
        <v>77</v>
      </c>
      <c r="B73" s="19" t="s">
        <v>3</v>
      </c>
      <c r="C73" s="19">
        <v>16</v>
      </c>
      <c r="D73" s="19">
        <f t="shared" si="1"/>
        <v>448</v>
      </c>
      <c r="E73" s="20" t="s">
        <v>79</v>
      </c>
      <c r="F73" s="21" t="s">
        <v>64</v>
      </c>
      <c r="G73" s="19" t="s">
        <v>275</v>
      </c>
      <c r="H73" s="23"/>
    </row>
    <row r="74" spans="1:8" s="5" customFormat="1" x14ac:dyDescent="0.2">
      <c r="A74" s="22" t="s">
        <v>147</v>
      </c>
      <c r="B74" s="19" t="s">
        <v>3</v>
      </c>
      <c r="C74" s="19">
        <v>1</v>
      </c>
      <c r="D74" s="19">
        <f t="shared" si="1"/>
        <v>464</v>
      </c>
      <c r="E74" s="20"/>
      <c r="F74" s="21" t="s">
        <v>64</v>
      </c>
      <c r="G74" s="19" t="s">
        <v>276</v>
      </c>
      <c r="H74" s="23"/>
    </row>
    <row r="75" spans="1:8" s="5" customFormat="1" ht="25.5" x14ac:dyDescent="0.2">
      <c r="A75" s="22" t="s">
        <v>148</v>
      </c>
      <c r="B75" s="19" t="s">
        <v>3</v>
      </c>
      <c r="C75" s="19">
        <v>16</v>
      </c>
      <c r="D75" s="19">
        <f t="shared" si="1"/>
        <v>465</v>
      </c>
      <c r="E75" s="20" t="s">
        <v>151</v>
      </c>
      <c r="F75" s="21" t="s">
        <v>64</v>
      </c>
      <c r="G75" s="19" t="s">
        <v>277</v>
      </c>
      <c r="H75" s="23"/>
    </row>
    <row r="76" spans="1:8" s="5" customFormat="1" x14ac:dyDescent="0.2">
      <c r="A76" s="22" t="s">
        <v>125</v>
      </c>
      <c r="B76" s="19" t="s">
        <v>3</v>
      </c>
      <c r="C76" s="19">
        <v>1</v>
      </c>
      <c r="D76" s="19">
        <f t="shared" si="1"/>
        <v>481</v>
      </c>
      <c r="E76" s="20"/>
      <c r="F76" s="21" t="s">
        <v>64</v>
      </c>
      <c r="G76" s="19" t="s">
        <v>278</v>
      </c>
      <c r="H76" s="23"/>
    </row>
    <row r="77" spans="1:8" s="5" customFormat="1" ht="25.5" x14ac:dyDescent="0.2">
      <c r="A77" s="22" t="s">
        <v>78</v>
      </c>
      <c r="B77" s="19" t="s">
        <v>3</v>
      </c>
      <c r="C77" s="19">
        <v>16</v>
      </c>
      <c r="D77" s="19">
        <f t="shared" si="1"/>
        <v>482</v>
      </c>
      <c r="E77" s="20" t="s">
        <v>80</v>
      </c>
      <c r="F77" s="21" t="s">
        <v>64</v>
      </c>
      <c r="G77" s="19" t="s">
        <v>279</v>
      </c>
      <c r="H77" s="23"/>
    </row>
    <row r="78" spans="1:8" s="5" customFormat="1" x14ac:dyDescent="0.2">
      <c r="A78" s="22" t="s">
        <v>149</v>
      </c>
      <c r="B78" s="19" t="s">
        <v>3</v>
      </c>
      <c r="C78" s="19">
        <v>1</v>
      </c>
      <c r="D78" s="19">
        <f t="shared" si="1"/>
        <v>498</v>
      </c>
      <c r="E78" s="20"/>
      <c r="F78" s="21" t="s">
        <v>64</v>
      </c>
      <c r="G78" s="19" t="s">
        <v>280</v>
      </c>
      <c r="H78" s="23"/>
    </row>
    <row r="79" spans="1:8" s="5" customFormat="1" ht="25.5" x14ac:dyDescent="0.2">
      <c r="A79" s="22" t="s">
        <v>150</v>
      </c>
      <c r="B79" s="19" t="s">
        <v>3</v>
      </c>
      <c r="C79" s="19">
        <v>16</v>
      </c>
      <c r="D79" s="19">
        <f t="shared" si="1"/>
        <v>499</v>
      </c>
      <c r="E79" s="20" t="s">
        <v>152</v>
      </c>
      <c r="F79" s="21" t="s">
        <v>64</v>
      </c>
      <c r="G79" s="19" t="s">
        <v>281</v>
      </c>
      <c r="H79" s="23"/>
    </row>
    <row r="80" spans="1:8" s="5" customFormat="1" ht="15.75" x14ac:dyDescent="0.25">
      <c r="A80" s="22" t="s">
        <v>81</v>
      </c>
      <c r="B80" s="19" t="s">
        <v>3</v>
      </c>
      <c r="C80" s="19">
        <v>5</v>
      </c>
      <c r="D80" s="19">
        <f t="shared" si="1"/>
        <v>515</v>
      </c>
      <c r="E80" s="20"/>
      <c r="F80" s="21" t="s">
        <v>64</v>
      </c>
      <c r="G80" s="19" t="s">
        <v>282</v>
      </c>
      <c r="H80" s="35"/>
    </row>
    <row r="81" spans="1:8" s="5" customFormat="1" ht="25.5" x14ac:dyDescent="0.2">
      <c r="A81" s="22" t="s">
        <v>357</v>
      </c>
      <c r="B81" s="19" t="s">
        <v>3</v>
      </c>
      <c r="C81" s="19">
        <v>10</v>
      </c>
      <c r="D81" s="19">
        <f t="shared" si="1"/>
        <v>520</v>
      </c>
      <c r="E81" s="20" t="s">
        <v>89</v>
      </c>
      <c r="F81" s="21" t="s">
        <v>64</v>
      </c>
      <c r="G81" s="19" t="s">
        <v>283</v>
      </c>
      <c r="H81" s="23"/>
    </row>
    <row r="82" spans="1:8" s="5" customFormat="1" ht="38.25" x14ac:dyDescent="0.2">
      <c r="A82" s="11" t="s">
        <v>83</v>
      </c>
      <c r="B82" s="19" t="s">
        <v>3</v>
      </c>
      <c r="C82" s="19">
        <v>1</v>
      </c>
      <c r="D82" s="19">
        <f t="shared" si="1"/>
        <v>530</v>
      </c>
      <c r="E82" s="20" t="s">
        <v>82</v>
      </c>
      <c r="F82" s="21" t="s">
        <v>64</v>
      </c>
      <c r="G82" s="19" t="s">
        <v>284</v>
      </c>
      <c r="H82" s="11" t="s">
        <v>2</v>
      </c>
    </row>
    <row r="83" spans="1:8" s="5" customFormat="1" ht="102" x14ac:dyDescent="0.2">
      <c r="A83" s="22" t="s">
        <v>43</v>
      </c>
      <c r="B83" s="19" t="s">
        <v>3</v>
      </c>
      <c r="C83" s="19">
        <v>1</v>
      </c>
      <c r="D83" s="19">
        <f t="shared" si="1"/>
        <v>531</v>
      </c>
      <c r="E83" s="24" t="s">
        <v>96</v>
      </c>
      <c r="F83" s="21" t="s">
        <v>64</v>
      </c>
      <c r="G83" s="19" t="s">
        <v>285</v>
      </c>
      <c r="H83" s="11" t="s">
        <v>165</v>
      </c>
    </row>
    <row r="84" spans="1:8" s="5" customFormat="1" ht="25.5" x14ac:dyDescent="0.2">
      <c r="A84" s="11" t="s">
        <v>86</v>
      </c>
      <c r="B84" s="19" t="s">
        <v>3</v>
      </c>
      <c r="C84" s="19">
        <v>1</v>
      </c>
      <c r="D84" s="19">
        <f t="shared" si="1"/>
        <v>532</v>
      </c>
      <c r="E84" s="24" t="s">
        <v>87</v>
      </c>
      <c r="F84" s="21" t="s">
        <v>64</v>
      </c>
      <c r="G84" s="19" t="s">
        <v>286</v>
      </c>
      <c r="H84" s="11" t="s">
        <v>163</v>
      </c>
    </row>
    <row r="85" spans="1:8" s="5" customFormat="1" ht="25.5" x14ac:dyDescent="0.2">
      <c r="A85" s="11" t="s">
        <v>189</v>
      </c>
      <c r="B85" s="19" t="s">
        <v>3</v>
      </c>
      <c r="C85" s="19">
        <v>7</v>
      </c>
      <c r="D85" s="19">
        <f t="shared" si="1"/>
        <v>533</v>
      </c>
      <c r="E85" s="25" t="s">
        <v>2</v>
      </c>
      <c r="F85" s="21" t="s">
        <v>64</v>
      </c>
      <c r="G85" s="19" t="s">
        <v>287</v>
      </c>
      <c r="H85" s="11" t="s">
        <v>185</v>
      </c>
    </row>
    <row r="86" spans="1:8" s="5" customFormat="1" ht="25.5" x14ac:dyDescent="0.2">
      <c r="A86" s="11" t="s">
        <v>88</v>
      </c>
      <c r="B86" s="19" t="s">
        <v>3</v>
      </c>
      <c r="C86" s="19">
        <v>9</v>
      </c>
      <c r="D86" s="19">
        <f t="shared" si="1"/>
        <v>540</v>
      </c>
      <c r="E86" s="25" t="s">
        <v>2</v>
      </c>
      <c r="F86" s="21" t="s">
        <v>64</v>
      </c>
      <c r="G86" s="19" t="s">
        <v>288</v>
      </c>
      <c r="H86" s="11" t="s">
        <v>186</v>
      </c>
    </row>
    <row r="87" spans="1:8" s="5" customFormat="1" ht="14.25" x14ac:dyDescent="0.2">
      <c r="A87" s="19" t="s">
        <v>90</v>
      </c>
      <c r="B87" s="19" t="s">
        <v>3</v>
      </c>
      <c r="C87" s="19">
        <v>16</v>
      </c>
      <c r="D87" s="19">
        <f t="shared" si="1"/>
        <v>549</v>
      </c>
      <c r="E87" s="25" t="s">
        <v>2</v>
      </c>
      <c r="F87" s="26" t="s">
        <v>64</v>
      </c>
      <c r="G87" s="25" t="s">
        <v>289</v>
      </c>
      <c r="H87" s="23"/>
    </row>
    <row r="88" spans="1:8" s="5" customFormat="1" ht="14.25" x14ac:dyDescent="0.2">
      <c r="A88" s="22" t="s">
        <v>91</v>
      </c>
      <c r="B88" s="19" t="s">
        <v>3</v>
      </c>
      <c r="C88" s="19">
        <v>1</v>
      </c>
      <c r="D88" s="19">
        <f t="shared" si="1"/>
        <v>565</v>
      </c>
      <c r="E88" s="25" t="s">
        <v>2</v>
      </c>
      <c r="F88" s="26" t="s">
        <v>64</v>
      </c>
      <c r="G88" s="19" t="s">
        <v>290</v>
      </c>
      <c r="H88" s="23" t="s">
        <v>2</v>
      </c>
    </row>
    <row r="89" spans="1:8" s="6" customFormat="1" ht="25.5" x14ac:dyDescent="0.2">
      <c r="A89" s="22" t="s">
        <v>92</v>
      </c>
      <c r="B89" s="19" t="s">
        <v>3</v>
      </c>
      <c r="C89" s="19">
        <v>5</v>
      </c>
      <c r="D89" s="19">
        <f t="shared" si="1"/>
        <v>566</v>
      </c>
      <c r="E89" s="24" t="s">
        <v>93</v>
      </c>
      <c r="F89" s="26" t="s">
        <v>64</v>
      </c>
      <c r="G89" s="19" t="s">
        <v>291</v>
      </c>
      <c r="H89" s="7"/>
    </row>
    <row r="90" spans="1:8" s="6" customFormat="1" x14ac:dyDescent="0.2">
      <c r="A90" s="22" t="s">
        <v>94</v>
      </c>
      <c r="B90" s="19" t="s">
        <v>3</v>
      </c>
      <c r="C90" s="19">
        <v>3</v>
      </c>
      <c r="D90" s="19">
        <f t="shared" si="1"/>
        <v>571</v>
      </c>
      <c r="E90" s="20"/>
      <c r="F90" s="21" t="s">
        <v>64</v>
      </c>
      <c r="G90" s="19" t="s">
        <v>292</v>
      </c>
      <c r="H90" s="7"/>
    </row>
    <row r="91" spans="1:8" s="6" customFormat="1" x14ac:dyDescent="0.2">
      <c r="A91" s="22" t="s">
        <v>95</v>
      </c>
      <c r="B91" s="19" t="s">
        <v>3</v>
      </c>
      <c r="C91" s="19">
        <v>3</v>
      </c>
      <c r="D91" s="19">
        <f t="shared" si="1"/>
        <v>574</v>
      </c>
      <c r="E91" s="20"/>
      <c r="F91" s="21" t="s">
        <v>64</v>
      </c>
      <c r="G91" s="19" t="s">
        <v>293</v>
      </c>
      <c r="H91" s="7"/>
    </row>
    <row r="92" spans="1:8" s="6" customFormat="1" ht="14.25" x14ac:dyDescent="0.2">
      <c r="A92" s="22" t="s">
        <v>105</v>
      </c>
      <c r="B92" s="19" t="s">
        <v>3</v>
      </c>
      <c r="C92" s="19">
        <v>2</v>
      </c>
      <c r="D92" s="19">
        <f t="shared" si="1"/>
        <v>577</v>
      </c>
      <c r="E92" s="25"/>
      <c r="F92" s="21" t="s">
        <v>64</v>
      </c>
      <c r="G92" s="19" t="s">
        <v>294</v>
      </c>
      <c r="H92" s="7"/>
    </row>
    <row r="93" spans="1:8" s="6" customFormat="1" x14ac:dyDescent="0.2">
      <c r="A93" s="22" t="s">
        <v>106</v>
      </c>
      <c r="B93" s="19" t="s">
        <v>3</v>
      </c>
      <c r="C93" s="19">
        <v>2</v>
      </c>
      <c r="D93" s="19">
        <f t="shared" si="1"/>
        <v>579</v>
      </c>
      <c r="E93" s="20"/>
      <c r="F93" s="21" t="s">
        <v>64</v>
      </c>
      <c r="G93" s="19" t="s">
        <v>295</v>
      </c>
      <c r="H93" s="7"/>
    </row>
    <row r="94" spans="1:8" s="6" customFormat="1" x14ac:dyDescent="0.2">
      <c r="A94" s="22" t="s">
        <v>107</v>
      </c>
      <c r="B94" s="19" t="s">
        <v>3</v>
      </c>
      <c r="C94" s="19">
        <v>2</v>
      </c>
      <c r="D94" s="19">
        <f t="shared" si="1"/>
        <v>581</v>
      </c>
      <c r="E94" s="20"/>
      <c r="F94" s="21" t="s">
        <v>64</v>
      </c>
      <c r="G94" s="19" t="s">
        <v>296</v>
      </c>
      <c r="H94" s="7"/>
    </row>
    <row r="95" spans="1:8" s="6" customFormat="1" x14ac:dyDescent="0.2">
      <c r="A95" s="22" t="s">
        <v>108</v>
      </c>
      <c r="B95" s="19" t="s">
        <v>3</v>
      </c>
      <c r="C95" s="19">
        <v>2</v>
      </c>
      <c r="D95" s="19">
        <f t="shared" si="1"/>
        <v>583</v>
      </c>
      <c r="E95" s="20"/>
      <c r="F95" s="21" t="s">
        <v>64</v>
      </c>
      <c r="G95" s="19" t="s">
        <v>297</v>
      </c>
      <c r="H95" s="7"/>
    </row>
    <row r="96" spans="1:8" s="6" customFormat="1" ht="25.5" x14ac:dyDescent="0.2">
      <c r="A96" s="22" t="s">
        <v>126</v>
      </c>
      <c r="B96" s="19" t="s">
        <v>3</v>
      </c>
      <c r="C96" s="19">
        <v>1</v>
      </c>
      <c r="D96" s="19">
        <f t="shared" si="1"/>
        <v>585</v>
      </c>
      <c r="E96" s="20"/>
      <c r="F96" s="21" t="s">
        <v>64</v>
      </c>
      <c r="G96" s="19" t="s">
        <v>298</v>
      </c>
      <c r="H96" s="7"/>
    </row>
    <row r="97" spans="1:8" s="6" customFormat="1" ht="25.5" x14ac:dyDescent="0.2">
      <c r="A97" s="22" t="s">
        <v>99</v>
      </c>
      <c r="B97" s="19" t="s">
        <v>3</v>
      </c>
      <c r="C97" s="19">
        <v>16</v>
      </c>
      <c r="D97" s="19">
        <f t="shared" si="1"/>
        <v>586</v>
      </c>
      <c r="E97" s="20"/>
      <c r="F97" s="21" t="s">
        <v>64</v>
      </c>
      <c r="G97" s="19" t="s">
        <v>299</v>
      </c>
      <c r="H97" s="7"/>
    </row>
    <row r="98" spans="1:8" s="6" customFormat="1" ht="25.5" x14ac:dyDescent="0.2">
      <c r="A98" s="22" t="s">
        <v>127</v>
      </c>
      <c r="B98" s="19" t="s">
        <v>3</v>
      </c>
      <c r="C98" s="19">
        <v>1</v>
      </c>
      <c r="D98" s="19">
        <f t="shared" si="1"/>
        <v>602</v>
      </c>
      <c r="E98" s="20"/>
      <c r="F98" s="21" t="s">
        <v>64</v>
      </c>
      <c r="G98" s="19" t="s">
        <v>300</v>
      </c>
      <c r="H98" s="7"/>
    </row>
    <row r="99" spans="1:8" s="6" customFormat="1" ht="25.5" x14ac:dyDescent="0.2">
      <c r="A99" s="22" t="s">
        <v>100</v>
      </c>
      <c r="B99" s="19" t="s">
        <v>3</v>
      </c>
      <c r="C99" s="19">
        <v>16</v>
      </c>
      <c r="D99" s="19">
        <f t="shared" si="1"/>
        <v>603</v>
      </c>
      <c r="E99" s="20"/>
      <c r="F99" s="21" t="s">
        <v>64</v>
      </c>
      <c r="G99" s="19" t="s">
        <v>301</v>
      </c>
      <c r="H99" s="7"/>
    </row>
    <row r="100" spans="1:8" s="6" customFormat="1" ht="25.5" x14ac:dyDescent="0.2">
      <c r="A100" s="22" t="s">
        <v>128</v>
      </c>
      <c r="B100" s="19" t="s">
        <v>3</v>
      </c>
      <c r="C100" s="19">
        <v>1</v>
      </c>
      <c r="D100" s="19">
        <f t="shared" si="1"/>
        <v>619</v>
      </c>
      <c r="E100" s="20"/>
      <c r="F100" s="21" t="s">
        <v>64</v>
      </c>
      <c r="G100" s="19" t="s">
        <v>302</v>
      </c>
      <c r="H100" s="7"/>
    </row>
    <row r="101" spans="1:8" s="6" customFormat="1" ht="25.5" x14ac:dyDescent="0.2">
      <c r="A101" s="22" t="s">
        <v>101</v>
      </c>
      <c r="B101" s="19" t="s">
        <v>3</v>
      </c>
      <c r="C101" s="19">
        <v>16</v>
      </c>
      <c r="D101" s="19">
        <f t="shared" si="1"/>
        <v>620</v>
      </c>
      <c r="E101" s="20"/>
      <c r="F101" s="21" t="s">
        <v>64</v>
      </c>
      <c r="G101" s="19" t="s">
        <v>303</v>
      </c>
      <c r="H101" s="7"/>
    </row>
    <row r="102" spans="1:8" s="6" customFormat="1" ht="25.5" x14ac:dyDescent="0.2">
      <c r="A102" s="22" t="s">
        <v>129</v>
      </c>
      <c r="B102" s="19" t="s">
        <v>3</v>
      </c>
      <c r="C102" s="19">
        <v>1</v>
      </c>
      <c r="D102" s="19">
        <f t="shared" si="1"/>
        <v>636</v>
      </c>
      <c r="E102" s="20"/>
      <c r="F102" s="21" t="s">
        <v>64</v>
      </c>
      <c r="G102" s="19" t="s">
        <v>304</v>
      </c>
      <c r="H102" s="7"/>
    </row>
    <row r="103" spans="1:8" s="6" customFormat="1" ht="25.5" x14ac:dyDescent="0.2">
      <c r="A103" s="22" t="s">
        <v>102</v>
      </c>
      <c r="B103" s="19" t="s">
        <v>3</v>
      </c>
      <c r="C103" s="19">
        <v>16</v>
      </c>
      <c r="D103" s="19">
        <f t="shared" si="1"/>
        <v>637</v>
      </c>
      <c r="E103" s="20"/>
      <c r="F103" s="21" t="s">
        <v>64</v>
      </c>
      <c r="G103" s="19" t="s">
        <v>305</v>
      </c>
      <c r="H103" s="7"/>
    </row>
    <row r="104" spans="1:8" s="6" customFormat="1" ht="25.5" x14ac:dyDescent="0.2">
      <c r="A104" s="22" t="s">
        <v>132</v>
      </c>
      <c r="B104" s="19" t="s">
        <v>3</v>
      </c>
      <c r="C104" s="19">
        <v>1</v>
      </c>
      <c r="D104" s="19">
        <f t="shared" si="1"/>
        <v>653</v>
      </c>
      <c r="E104" s="20"/>
      <c r="F104" s="21" t="s">
        <v>64</v>
      </c>
      <c r="G104" s="19" t="s">
        <v>306</v>
      </c>
      <c r="H104" s="7"/>
    </row>
    <row r="105" spans="1:8" s="6" customFormat="1" ht="25.5" x14ac:dyDescent="0.2">
      <c r="A105" s="22" t="s">
        <v>110</v>
      </c>
      <c r="B105" s="19" t="s">
        <v>3</v>
      </c>
      <c r="C105" s="19">
        <v>16</v>
      </c>
      <c r="D105" s="19">
        <f t="shared" si="1"/>
        <v>654</v>
      </c>
      <c r="E105" s="20"/>
      <c r="F105" s="21" t="s">
        <v>64</v>
      </c>
      <c r="G105" s="19" t="s">
        <v>307</v>
      </c>
      <c r="H105" s="7"/>
    </row>
    <row r="106" spans="1:8" s="6" customFormat="1" x14ac:dyDescent="0.2">
      <c r="A106" s="22" t="s">
        <v>130</v>
      </c>
      <c r="B106" s="19" t="s">
        <v>3</v>
      </c>
      <c r="C106" s="19">
        <v>1</v>
      </c>
      <c r="D106" s="19">
        <f t="shared" si="1"/>
        <v>670</v>
      </c>
      <c r="E106" s="20"/>
      <c r="F106" s="21" t="s">
        <v>64</v>
      </c>
      <c r="G106" s="19" t="s">
        <v>308</v>
      </c>
      <c r="H106" s="7"/>
    </row>
    <row r="107" spans="1:8" s="6" customFormat="1" ht="25.5" x14ac:dyDescent="0.2">
      <c r="A107" s="22" t="s">
        <v>103</v>
      </c>
      <c r="B107" s="19" t="s">
        <v>3</v>
      </c>
      <c r="C107" s="19">
        <v>16</v>
      </c>
      <c r="D107" s="19">
        <f t="shared" si="1"/>
        <v>671</v>
      </c>
      <c r="E107" s="20"/>
      <c r="F107" s="21" t="s">
        <v>64</v>
      </c>
      <c r="G107" s="19" t="s">
        <v>309</v>
      </c>
      <c r="H107" s="7"/>
    </row>
    <row r="108" spans="1:8" s="6" customFormat="1" ht="25.5" x14ac:dyDescent="0.2">
      <c r="A108" s="22" t="s">
        <v>133</v>
      </c>
      <c r="B108" s="19" t="s">
        <v>3</v>
      </c>
      <c r="C108" s="19">
        <v>1</v>
      </c>
      <c r="D108" s="19">
        <f t="shared" si="1"/>
        <v>687</v>
      </c>
      <c r="E108" s="20"/>
      <c r="F108" s="21" t="s">
        <v>64</v>
      </c>
      <c r="G108" s="19" t="s">
        <v>310</v>
      </c>
      <c r="H108" s="7"/>
    </row>
    <row r="109" spans="1:8" s="6" customFormat="1" ht="25.5" x14ac:dyDescent="0.2">
      <c r="A109" s="22" t="s">
        <v>111</v>
      </c>
      <c r="B109" s="19" t="s">
        <v>3</v>
      </c>
      <c r="C109" s="19">
        <v>16</v>
      </c>
      <c r="D109" s="19">
        <f t="shared" si="1"/>
        <v>688</v>
      </c>
      <c r="E109" s="20"/>
      <c r="F109" s="21" t="s">
        <v>64</v>
      </c>
      <c r="G109" s="19" t="s">
        <v>311</v>
      </c>
      <c r="H109" s="7"/>
    </row>
    <row r="110" spans="1:8" s="6" customFormat="1" x14ac:dyDescent="0.2">
      <c r="A110" s="22" t="s">
        <v>131</v>
      </c>
      <c r="B110" s="19" t="s">
        <v>3</v>
      </c>
      <c r="C110" s="19">
        <v>1</v>
      </c>
      <c r="D110" s="19">
        <f t="shared" si="1"/>
        <v>704</v>
      </c>
      <c r="E110" s="20"/>
      <c r="F110" s="21" t="s">
        <v>64</v>
      </c>
      <c r="G110" s="19" t="s">
        <v>312</v>
      </c>
      <c r="H110" s="7"/>
    </row>
    <row r="111" spans="1:8" s="6" customFormat="1" ht="25.5" x14ac:dyDescent="0.2">
      <c r="A111" s="22" t="s">
        <v>104</v>
      </c>
      <c r="B111" s="19" t="s">
        <v>3</v>
      </c>
      <c r="C111" s="19">
        <v>16</v>
      </c>
      <c r="D111" s="19">
        <f t="shared" si="1"/>
        <v>705</v>
      </c>
      <c r="E111" s="20"/>
      <c r="F111" s="21" t="s">
        <v>64</v>
      </c>
      <c r="G111" s="19" t="s">
        <v>313</v>
      </c>
      <c r="H111" s="7"/>
    </row>
    <row r="112" spans="1:8" s="6" customFormat="1" x14ac:dyDescent="0.2">
      <c r="A112" s="22" t="s">
        <v>134</v>
      </c>
      <c r="B112" s="19" t="s">
        <v>3</v>
      </c>
      <c r="C112" s="19">
        <v>1</v>
      </c>
      <c r="D112" s="19">
        <f t="shared" si="1"/>
        <v>721</v>
      </c>
      <c r="E112" s="20"/>
      <c r="F112" s="21" t="s">
        <v>64</v>
      </c>
      <c r="G112" s="19" t="s">
        <v>314</v>
      </c>
      <c r="H112" s="7"/>
    </row>
    <row r="113" spans="1:8" s="6" customFormat="1" ht="25.5" x14ac:dyDescent="0.2">
      <c r="A113" s="22" t="s">
        <v>112</v>
      </c>
      <c r="B113" s="19" t="s">
        <v>3</v>
      </c>
      <c r="C113" s="19">
        <v>16</v>
      </c>
      <c r="D113" s="19">
        <f t="shared" si="1"/>
        <v>722</v>
      </c>
      <c r="E113" s="20"/>
      <c r="F113" s="21" t="s">
        <v>64</v>
      </c>
      <c r="G113" s="19" t="s">
        <v>315</v>
      </c>
      <c r="H113" s="7"/>
    </row>
    <row r="114" spans="1:8" s="6" customFormat="1" x14ac:dyDescent="0.2">
      <c r="A114" s="22" t="s">
        <v>135</v>
      </c>
      <c r="B114" s="19" t="s">
        <v>3</v>
      </c>
      <c r="C114" s="19">
        <v>1</v>
      </c>
      <c r="D114" s="19">
        <f t="shared" si="1"/>
        <v>738</v>
      </c>
      <c r="E114" s="20"/>
      <c r="F114" s="21" t="s">
        <v>64</v>
      </c>
      <c r="G114" s="19" t="s">
        <v>316</v>
      </c>
      <c r="H114" s="7"/>
    </row>
    <row r="115" spans="1:8" s="40" customFormat="1" ht="63.75" x14ac:dyDescent="0.2">
      <c r="A115" s="22" t="s">
        <v>109</v>
      </c>
      <c r="B115" s="19" t="s">
        <v>3</v>
      </c>
      <c r="C115" s="19">
        <v>16</v>
      </c>
      <c r="D115" s="19">
        <f t="shared" si="1"/>
        <v>739</v>
      </c>
      <c r="E115" s="22" t="s">
        <v>116</v>
      </c>
      <c r="F115" s="21" t="s">
        <v>64</v>
      </c>
      <c r="G115" s="19" t="s">
        <v>317</v>
      </c>
      <c r="H115" s="36"/>
    </row>
    <row r="116" spans="1:8" s="40" customFormat="1" x14ac:dyDescent="0.2">
      <c r="A116" s="22" t="s">
        <v>136</v>
      </c>
      <c r="B116" s="19" t="s">
        <v>3</v>
      </c>
      <c r="C116" s="19">
        <v>1</v>
      </c>
      <c r="D116" s="19">
        <f t="shared" si="1"/>
        <v>755</v>
      </c>
      <c r="E116" s="22"/>
      <c r="F116" s="21" t="s">
        <v>64</v>
      </c>
      <c r="G116" s="19" t="s">
        <v>318</v>
      </c>
      <c r="H116" s="36"/>
    </row>
    <row r="117" spans="1:8" s="40" customFormat="1" ht="63.75" x14ac:dyDescent="0.2">
      <c r="A117" s="22" t="s">
        <v>113</v>
      </c>
      <c r="B117" s="19" t="s">
        <v>3</v>
      </c>
      <c r="C117" s="19">
        <v>16</v>
      </c>
      <c r="D117" s="19">
        <f t="shared" si="1"/>
        <v>756</v>
      </c>
      <c r="E117" s="22" t="s">
        <v>117</v>
      </c>
      <c r="F117" s="21" t="s">
        <v>64</v>
      </c>
      <c r="G117" s="19" t="s">
        <v>319</v>
      </c>
      <c r="H117" s="36"/>
    </row>
    <row r="118" spans="1:8" s="6" customFormat="1" ht="38.25" x14ac:dyDescent="0.2">
      <c r="A118" s="22" t="s">
        <v>118</v>
      </c>
      <c r="B118" s="19" t="s">
        <v>3</v>
      </c>
      <c r="C118" s="19">
        <v>16</v>
      </c>
      <c r="D118" s="19">
        <f t="shared" si="1"/>
        <v>772</v>
      </c>
      <c r="E118" s="20" t="s">
        <v>123</v>
      </c>
      <c r="F118" s="21" t="s">
        <v>64</v>
      </c>
      <c r="G118" s="19" t="s">
        <v>320</v>
      </c>
      <c r="H118" s="7"/>
    </row>
    <row r="119" spans="1:8" s="41" customFormat="1" ht="51" x14ac:dyDescent="0.2">
      <c r="A119" s="22" t="s">
        <v>119</v>
      </c>
      <c r="B119" s="22" t="s">
        <v>3</v>
      </c>
      <c r="C119" s="22">
        <v>1</v>
      </c>
      <c r="D119" s="19">
        <f t="shared" si="1"/>
        <v>788</v>
      </c>
      <c r="E119" s="22" t="s">
        <v>97</v>
      </c>
      <c r="F119" s="27" t="s">
        <v>64</v>
      </c>
      <c r="G119" s="22" t="s">
        <v>321</v>
      </c>
      <c r="H119" s="37"/>
    </row>
    <row r="120" spans="1:8" s="41" customFormat="1" ht="102" x14ac:dyDescent="0.2">
      <c r="A120" s="22" t="s">
        <v>120</v>
      </c>
      <c r="B120" s="22" t="s">
        <v>3</v>
      </c>
      <c r="C120" s="22">
        <v>1</v>
      </c>
      <c r="D120" s="19">
        <f t="shared" si="1"/>
        <v>789</v>
      </c>
      <c r="E120" s="22" t="s">
        <v>98</v>
      </c>
      <c r="F120" s="27" t="s">
        <v>64</v>
      </c>
      <c r="G120" s="22" t="s">
        <v>322</v>
      </c>
      <c r="H120" s="37"/>
    </row>
    <row r="121" spans="1:8" s="41" customFormat="1" x14ac:dyDescent="0.2">
      <c r="A121" s="22" t="s">
        <v>141</v>
      </c>
      <c r="B121" s="22" t="s">
        <v>3</v>
      </c>
      <c r="C121" s="22">
        <v>1</v>
      </c>
      <c r="D121" s="19">
        <f t="shared" si="1"/>
        <v>790</v>
      </c>
      <c r="E121" s="22"/>
      <c r="F121" s="27" t="s">
        <v>64</v>
      </c>
      <c r="G121" s="19" t="s">
        <v>323</v>
      </c>
      <c r="H121" s="37"/>
    </row>
    <row r="122" spans="1:8" s="6" customFormat="1" x14ac:dyDescent="0.2">
      <c r="A122" s="22" t="s">
        <v>137</v>
      </c>
      <c r="B122" s="22" t="s">
        <v>3</v>
      </c>
      <c r="C122" s="19">
        <v>16</v>
      </c>
      <c r="D122" s="19">
        <f t="shared" si="1"/>
        <v>791</v>
      </c>
      <c r="E122" s="22" t="s">
        <v>153</v>
      </c>
      <c r="F122" s="27" t="s">
        <v>64</v>
      </c>
      <c r="G122" s="19" t="s">
        <v>324</v>
      </c>
      <c r="H122" s="7"/>
    </row>
    <row r="123" spans="1:8" s="6" customFormat="1" ht="15.75" x14ac:dyDescent="0.25">
      <c r="A123" s="22" t="s">
        <v>142</v>
      </c>
      <c r="B123" s="22" t="s">
        <v>3</v>
      </c>
      <c r="C123" s="19">
        <v>1</v>
      </c>
      <c r="D123" s="19">
        <f t="shared" si="1"/>
        <v>807</v>
      </c>
      <c r="E123" s="38"/>
      <c r="F123" s="27" t="s">
        <v>64</v>
      </c>
      <c r="G123" s="19" t="s">
        <v>325</v>
      </c>
      <c r="H123" s="7"/>
    </row>
    <row r="124" spans="1:8" s="6" customFormat="1" x14ac:dyDescent="0.2">
      <c r="A124" s="22" t="s">
        <v>138</v>
      </c>
      <c r="B124" s="22" t="s">
        <v>3</v>
      </c>
      <c r="C124" s="19">
        <v>16</v>
      </c>
      <c r="D124" s="19">
        <f t="shared" si="1"/>
        <v>808</v>
      </c>
      <c r="E124" s="22" t="s">
        <v>154</v>
      </c>
      <c r="F124" s="27" t="s">
        <v>64</v>
      </c>
      <c r="G124" s="19" t="s">
        <v>326</v>
      </c>
      <c r="H124" s="7"/>
    </row>
    <row r="125" spans="1:8" s="6" customFormat="1" x14ac:dyDescent="0.2">
      <c r="A125" s="22" t="s">
        <v>143</v>
      </c>
      <c r="B125" s="22" t="s">
        <v>3</v>
      </c>
      <c r="C125" s="19">
        <v>1</v>
      </c>
      <c r="D125" s="19">
        <f t="shared" si="1"/>
        <v>824</v>
      </c>
      <c r="E125" s="22" t="s">
        <v>2</v>
      </c>
      <c r="F125" s="27" t="s">
        <v>64</v>
      </c>
      <c r="G125" s="19" t="s">
        <v>327</v>
      </c>
      <c r="H125" s="7"/>
    </row>
    <row r="126" spans="1:8" s="6" customFormat="1" x14ac:dyDescent="0.2">
      <c r="A126" s="22" t="s">
        <v>139</v>
      </c>
      <c r="B126" s="22" t="s">
        <v>3</v>
      </c>
      <c r="C126" s="19">
        <v>16</v>
      </c>
      <c r="D126" s="19">
        <f t="shared" si="1"/>
        <v>825</v>
      </c>
      <c r="E126" s="22" t="s">
        <v>155</v>
      </c>
      <c r="F126" s="27" t="s">
        <v>64</v>
      </c>
      <c r="G126" s="19" t="s">
        <v>328</v>
      </c>
      <c r="H126" s="7"/>
    </row>
    <row r="127" spans="1:8" s="6" customFormat="1" x14ac:dyDescent="0.2">
      <c r="A127" s="22" t="s">
        <v>144</v>
      </c>
      <c r="B127" s="22" t="s">
        <v>3</v>
      </c>
      <c r="C127" s="19">
        <v>1</v>
      </c>
      <c r="D127" s="19">
        <f t="shared" si="1"/>
        <v>841</v>
      </c>
      <c r="E127" s="20"/>
      <c r="F127" s="27" t="s">
        <v>64</v>
      </c>
      <c r="G127" s="19" t="s">
        <v>329</v>
      </c>
      <c r="H127" s="7"/>
    </row>
    <row r="128" spans="1:8" s="6" customFormat="1" x14ac:dyDescent="0.2">
      <c r="A128" s="22" t="s">
        <v>140</v>
      </c>
      <c r="B128" s="22" t="s">
        <v>3</v>
      </c>
      <c r="C128" s="19">
        <v>16</v>
      </c>
      <c r="D128" s="19">
        <f t="shared" si="1"/>
        <v>842</v>
      </c>
      <c r="E128" s="22" t="s">
        <v>156</v>
      </c>
      <c r="F128" s="27" t="s">
        <v>64</v>
      </c>
      <c r="G128" s="19" t="s">
        <v>330</v>
      </c>
      <c r="H128" s="7"/>
    </row>
    <row r="129" spans="1:8" s="6" customFormat="1" x14ac:dyDescent="0.2">
      <c r="A129" s="22" t="s">
        <v>145</v>
      </c>
      <c r="B129" s="22" t="s">
        <v>3</v>
      </c>
      <c r="C129" s="19">
        <v>1</v>
      </c>
      <c r="D129" s="19">
        <f t="shared" si="1"/>
        <v>858</v>
      </c>
      <c r="E129" s="20"/>
      <c r="F129" s="27" t="s">
        <v>64</v>
      </c>
      <c r="G129" s="19" t="s">
        <v>331</v>
      </c>
      <c r="H129" s="7"/>
    </row>
    <row r="130" spans="1:8" s="6" customFormat="1" x14ac:dyDescent="0.2">
      <c r="A130" s="22" t="s">
        <v>121</v>
      </c>
      <c r="B130" s="22" t="s">
        <v>3</v>
      </c>
      <c r="C130" s="19">
        <v>16</v>
      </c>
      <c r="D130" s="19">
        <f t="shared" si="1"/>
        <v>859</v>
      </c>
      <c r="E130" s="20" t="s">
        <v>157</v>
      </c>
      <c r="F130" s="27" t="s">
        <v>64</v>
      </c>
      <c r="G130" s="19" t="s">
        <v>332</v>
      </c>
      <c r="H130" s="7"/>
    </row>
    <row r="131" spans="1:8" s="6" customFormat="1" x14ac:dyDescent="0.2">
      <c r="A131" s="22" t="s">
        <v>146</v>
      </c>
      <c r="B131" s="22" t="s">
        <v>3</v>
      </c>
      <c r="C131" s="19">
        <v>1</v>
      </c>
      <c r="D131" s="19">
        <f t="shared" si="1"/>
        <v>875</v>
      </c>
      <c r="E131" s="20"/>
      <c r="F131" s="27" t="s">
        <v>64</v>
      </c>
      <c r="G131" s="19" t="s">
        <v>333</v>
      </c>
      <c r="H131" s="7"/>
    </row>
    <row r="132" spans="1:8" s="6" customFormat="1" x14ac:dyDescent="0.2">
      <c r="A132" s="22" t="s">
        <v>122</v>
      </c>
      <c r="B132" s="22" t="s">
        <v>3</v>
      </c>
      <c r="C132" s="19">
        <v>16</v>
      </c>
      <c r="D132" s="19">
        <f>D131+C131</f>
        <v>876</v>
      </c>
      <c r="E132" s="20" t="s">
        <v>158</v>
      </c>
      <c r="F132" s="27" t="s">
        <v>64</v>
      </c>
      <c r="G132" s="19" t="s">
        <v>334</v>
      </c>
      <c r="H132" s="7"/>
    </row>
    <row r="133" spans="1:8" s="5" customFormat="1" x14ac:dyDescent="0.2">
      <c r="A133" s="22" t="s">
        <v>159</v>
      </c>
      <c r="B133" s="22" t="s">
        <v>3</v>
      </c>
      <c r="C133" s="19">
        <v>3</v>
      </c>
      <c r="D133" s="19">
        <f>D132+C132</f>
        <v>892</v>
      </c>
      <c r="E133" s="20"/>
      <c r="F133" s="21" t="s">
        <v>64</v>
      </c>
      <c r="G133" s="19"/>
      <c r="H133" s="23"/>
    </row>
    <row r="134" spans="1:8" s="6" customFormat="1" x14ac:dyDescent="0.2">
      <c r="A134" s="22" t="s">
        <v>160</v>
      </c>
      <c r="B134" s="19" t="s">
        <v>3</v>
      </c>
      <c r="C134" s="39">
        <v>1</v>
      </c>
      <c r="D134" s="19">
        <f>D133+C133</f>
        <v>895</v>
      </c>
      <c r="E134" s="20" t="s">
        <v>161</v>
      </c>
      <c r="F134" s="10" t="s">
        <v>63</v>
      </c>
      <c r="G134" s="8" t="s">
        <v>335</v>
      </c>
      <c r="H134" s="7"/>
    </row>
    <row r="135" spans="1:8" s="6" customFormat="1" ht="51" x14ac:dyDescent="0.2">
      <c r="A135" s="11" t="s">
        <v>166</v>
      </c>
      <c r="B135" s="19" t="s">
        <v>3</v>
      </c>
      <c r="C135" s="28">
        <v>20</v>
      </c>
      <c r="D135" s="19">
        <f t="shared" ref="D135:D153" si="2">D134+C134</f>
        <v>896</v>
      </c>
      <c r="E135" s="29" t="s">
        <v>193</v>
      </c>
      <c r="F135" s="10" t="s">
        <v>63</v>
      </c>
      <c r="G135" s="8" t="s">
        <v>336</v>
      </c>
      <c r="H135" s="11" t="s">
        <v>182</v>
      </c>
    </row>
    <row r="136" spans="1:8" s="6" customFormat="1" x14ac:dyDescent="0.2">
      <c r="A136" s="11" t="s">
        <v>170</v>
      </c>
      <c r="B136" s="19" t="s">
        <v>3</v>
      </c>
      <c r="C136" s="28">
        <v>10</v>
      </c>
      <c r="D136" s="19">
        <f t="shared" si="2"/>
        <v>916</v>
      </c>
      <c r="E136" s="9"/>
      <c r="F136" s="10" t="s">
        <v>63</v>
      </c>
      <c r="G136" s="8" t="s">
        <v>337</v>
      </c>
      <c r="H136" s="11" t="s">
        <v>182</v>
      </c>
    </row>
    <row r="137" spans="1:8" s="6" customFormat="1" x14ac:dyDescent="0.2">
      <c r="A137" s="11" t="s">
        <v>171</v>
      </c>
      <c r="B137" s="19" t="s">
        <v>3</v>
      </c>
      <c r="C137" s="28">
        <v>4</v>
      </c>
      <c r="D137" s="19">
        <f t="shared" si="2"/>
        <v>926</v>
      </c>
      <c r="E137" s="9"/>
      <c r="F137" s="10" t="s">
        <v>63</v>
      </c>
      <c r="G137" s="8" t="s">
        <v>338</v>
      </c>
      <c r="H137" s="11" t="s">
        <v>182</v>
      </c>
    </row>
    <row r="138" spans="1:8" s="6" customFormat="1" ht="51" x14ac:dyDescent="0.2">
      <c r="A138" s="57" t="s">
        <v>167</v>
      </c>
      <c r="B138" s="58" t="s">
        <v>3</v>
      </c>
      <c r="C138" s="59">
        <v>20</v>
      </c>
      <c r="D138" s="58">
        <f t="shared" si="2"/>
        <v>930</v>
      </c>
      <c r="E138" s="60" t="s">
        <v>193</v>
      </c>
      <c r="F138" s="10" t="s">
        <v>63</v>
      </c>
      <c r="G138" s="8" t="s">
        <v>339</v>
      </c>
      <c r="H138" s="11" t="s">
        <v>182</v>
      </c>
    </row>
    <row r="139" spans="1:8" s="6" customFormat="1" x14ac:dyDescent="0.2">
      <c r="A139" s="11" t="s">
        <v>168</v>
      </c>
      <c r="B139" s="19" t="s">
        <v>3</v>
      </c>
      <c r="C139" s="28">
        <v>10</v>
      </c>
      <c r="D139" s="19">
        <f t="shared" si="2"/>
        <v>950</v>
      </c>
      <c r="E139" s="9"/>
      <c r="F139" s="10" t="s">
        <v>63</v>
      </c>
      <c r="G139" s="8" t="s">
        <v>340</v>
      </c>
      <c r="H139" s="11" t="s">
        <v>182</v>
      </c>
    </row>
    <row r="140" spans="1:8" s="6" customFormat="1" x14ac:dyDescent="0.2">
      <c r="A140" s="11" t="s">
        <v>169</v>
      </c>
      <c r="B140" s="19" t="s">
        <v>3</v>
      </c>
      <c r="C140" s="28">
        <v>4</v>
      </c>
      <c r="D140" s="19">
        <f t="shared" si="2"/>
        <v>960</v>
      </c>
      <c r="E140" s="9"/>
      <c r="F140" s="10" t="s">
        <v>63</v>
      </c>
      <c r="G140" s="8" t="s">
        <v>341</v>
      </c>
      <c r="H140" s="11" t="s">
        <v>182</v>
      </c>
    </row>
    <row r="141" spans="1:8" s="6" customFormat="1" ht="51" x14ac:dyDescent="0.2">
      <c r="A141" s="11" t="s">
        <v>172</v>
      </c>
      <c r="B141" s="19" t="s">
        <v>3</v>
      </c>
      <c r="C141" s="28">
        <v>20</v>
      </c>
      <c r="D141" s="19">
        <f t="shared" si="2"/>
        <v>964</v>
      </c>
      <c r="E141" s="29" t="s">
        <v>193</v>
      </c>
      <c r="F141" s="10" t="s">
        <v>63</v>
      </c>
      <c r="G141" s="8" t="s">
        <v>342</v>
      </c>
      <c r="H141" s="11" t="s">
        <v>182</v>
      </c>
    </row>
    <row r="142" spans="1:8" s="6" customFormat="1" x14ac:dyDescent="0.2">
      <c r="A142" s="11" t="s">
        <v>173</v>
      </c>
      <c r="B142" s="19" t="s">
        <v>3</v>
      </c>
      <c r="C142" s="28">
        <v>10</v>
      </c>
      <c r="D142" s="19">
        <f t="shared" si="2"/>
        <v>984</v>
      </c>
      <c r="E142" s="9"/>
      <c r="F142" s="10" t="s">
        <v>63</v>
      </c>
      <c r="G142" s="8" t="s">
        <v>343</v>
      </c>
      <c r="H142" s="11" t="s">
        <v>182</v>
      </c>
    </row>
    <row r="143" spans="1:8" s="6" customFormat="1" x14ac:dyDescent="0.2">
      <c r="A143" s="11" t="s">
        <v>174</v>
      </c>
      <c r="B143" s="19" t="s">
        <v>3</v>
      </c>
      <c r="C143" s="28">
        <v>4</v>
      </c>
      <c r="D143" s="19">
        <f t="shared" si="2"/>
        <v>994</v>
      </c>
      <c r="E143" s="9"/>
      <c r="F143" s="10" t="s">
        <v>63</v>
      </c>
      <c r="G143" s="8" t="s">
        <v>344</v>
      </c>
      <c r="H143" s="11" t="s">
        <v>182</v>
      </c>
    </row>
    <row r="144" spans="1:8" s="6" customFormat="1" ht="51" x14ac:dyDescent="0.2">
      <c r="A144" s="11" t="s">
        <v>175</v>
      </c>
      <c r="B144" s="19" t="s">
        <v>3</v>
      </c>
      <c r="C144" s="28">
        <v>20</v>
      </c>
      <c r="D144" s="19">
        <f t="shared" si="2"/>
        <v>998</v>
      </c>
      <c r="E144" s="29" t="s">
        <v>193</v>
      </c>
      <c r="F144" s="10" t="s">
        <v>63</v>
      </c>
      <c r="G144" s="8" t="s">
        <v>345</v>
      </c>
      <c r="H144" s="11" t="s">
        <v>182</v>
      </c>
    </row>
    <row r="145" spans="1:8" s="6" customFormat="1" x14ac:dyDescent="0.2">
      <c r="A145" s="11" t="s">
        <v>176</v>
      </c>
      <c r="B145" s="19" t="s">
        <v>3</v>
      </c>
      <c r="C145" s="28">
        <v>10</v>
      </c>
      <c r="D145" s="19">
        <f t="shared" si="2"/>
        <v>1018</v>
      </c>
      <c r="E145" s="9"/>
      <c r="F145" s="10" t="s">
        <v>63</v>
      </c>
      <c r="G145" s="8" t="s">
        <v>346</v>
      </c>
      <c r="H145" s="11" t="s">
        <v>182</v>
      </c>
    </row>
    <row r="146" spans="1:8" s="6" customFormat="1" x14ac:dyDescent="0.2">
      <c r="A146" s="11" t="s">
        <v>177</v>
      </c>
      <c r="B146" s="19" t="s">
        <v>3</v>
      </c>
      <c r="C146" s="28">
        <v>4</v>
      </c>
      <c r="D146" s="19">
        <f t="shared" si="2"/>
        <v>1028</v>
      </c>
      <c r="E146" s="9"/>
      <c r="F146" s="10" t="s">
        <v>63</v>
      </c>
      <c r="G146" s="8" t="s">
        <v>347</v>
      </c>
      <c r="H146" s="11" t="s">
        <v>182</v>
      </c>
    </row>
    <row r="147" spans="1:8" s="6" customFormat="1" ht="51" x14ac:dyDescent="0.2">
      <c r="A147" s="11" t="s">
        <v>178</v>
      </c>
      <c r="B147" s="19" t="s">
        <v>3</v>
      </c>
      <c r="C147" s="28">
        <v>20</v>
      </c>
      <c r="D147" s="19">
        <f t="shared" si="2"/>
        <v>1032</v>
      </c>
      <c r="E147" s="29" t="s">
        <v>193</v>
      </c>
      <c r="F147" s="10" t="s">
        <v>63</v>
      </c>
      <c r="G147" s="8" t="s">
        <v>348</v>
      </c>
      <c r="H147" s="11" t="s">
        <v>182</v>
      </c>
    </row>
    <row r="148" spans="1:8" s="6" customFormat="1" x14ac:dyDescent="0.2">
      <c r="A148" s="11" t="s">
        <v>179</v>
      </c>
      <c r="B148" s="19" t="s">
        <v>3</v>
      </c>
      <c r="C148" s="28">
        <v>10</v>
      </c>
      <c r="D148" s="19">
        <f t="shared" si="2"/>
        <v>1052</v>
      </c>
      <c r="E148" s="9"/>
      <c r="F148" s="10" t="s">
        <v>63</v>
      </c>
      <c r="G148" s="8" t="s">
        <v>349</v>
      </c>
      <c r="H148" s="11" t="s">
        <v>182</v>
      </c>
    </row>
    <row r="149" spans="1:8" s="6" customFormat="1" x14ac:dyDescent="0.2">
      <c r="A149" s="11" t="s">
        <v>180</v>
      </c>
      <c r="B149" s="19" t="s">
        <v>3</v>
      </c>
      <c r="C149" s="28">
        <v>4</v>
      </c>
      <c r="D149" s="19">
        <f t="shared" si="2"/>
        <v>1062</v>
      </c>
      <c r="E149" s="9"/>
      <c r="F149" s="10" t="s">
        <v>63</v>
      </c>
      <c r="G149" s="8" t="s">
        <v>350</v>
      </c>
      <c r="H149" s="11" t="s">
        <v>182</v>
      </c>
    </row>
    <row r="150" spans="1:8" s="6" customFormat="1" x14ac:dyDescent="0.2">
      <c r="A150" s="7" t="s">
        <v>56</v>
      </c>
      <c r="B150" s="28" t="s">
        <v>3</v>
      </c>
      <c r="C150" s="28">
        <v>10</v>
      </c>
      <c r="D150" s="19">
        <f t="shared" si="2"/>
        <v>1066</v>
      </c>
      <c r="E150" s="9"/>
      <c r="F150" s="34" t="s">
        <v>64</v>
      </c>
      <c r="G150" s="8" t="s">
        <v>351</v>
      </c>
      <c r="H150" s="7" t="s">
        <v>190</v>
      </c>
    </row>
    <row r="151" spans="1:8" s="6" customFormat="1" x14ac:dyDescent="0.2">
      <c r="A151" s="45" t="s">
        <v>359</v>
      </c>
      <c r="B151" s="59" t="s">
        <v>194</v>
      </c>
      <c r="C151" s="59">
        <v>7</v>
      </c>
      <c r="D151" s="58">
        <f t="shared" si="2"/>
        <v>1076</v>
      </c>
      <c r="E151" s="60" t="s">
        <v>367</v>
      </c>
      <c r="F151" s="34"/>
      <c r="G151" s="8" t="s">
        <v>361</v>
      </c>
      <c r="H151" s="8" t="s">
        <v>360</v>
      </c>
    </row>
    <row r="152" spans="1:8" x14ac:dyDescent="0.2">
      <c r="A152" s="30" t="s">
        <v>191</v>
      </c>
      <c r="B152" s="31"/>
      <c r="C152" s="31">
        <v>4917</v>
      </c>
      <c r="D152" s="19">
        <f t="shared" si="2"/>
        <v>1083</v>
      </c>
      <c r="E152" s="32"/>
      <c r="F152" s="33"/>
      <c r="G152" s="31"/>
      <c r="H152" s="31"/>
    </row>
    <row r="153" spans="1:8" s="6" customFormat="1" x14ac:dyDescent="0.2">
      <c r="A153" s="7" t="s">
        <v>204</v>
      </c>
      <c r="B153" s="28"/>
      <c r="C153" s="28">
        <v>1</v>
      </c>
      <c r="D153" s="19">
        <f t="shared" si="2"/>
        <v>6000</v>
      </c>
      <c r="E153" s="9" t="str">
        <f>CONCATENATE("Lunghezza record : ",D153+C153-1)</f>
        <v>Lunghezza record : 6000</v>
      </c>
      <c r="F153" s="34"/>
      <c r="G153" s="8"/>
      <c r="H153" s="7"/>
    </row>
    <row r="163" spans="7:7" x14ac:dyDescent="0.2">
      <c r="G163" t="s">
        <v>2</v>
      </c>
    </row>
  </sheetData>
  <autoFilter ref="A2:A150"/>
  <mergeCells count="1">
    <mergeCell ref="A1:H1"/>
  </mergeCells>
  <phoneticPr fontId="2" type="noConversion"/>
  <pageMargins left="0.2" right="0.22" top="0.17" bottom="0.18" header="0.17" footer="0.18"/>
  <pageSetup paperSize="9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Tracc. rec. sin. giornalieri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Cavazza Simonetta</dc:creator>
  <cp:lastModifiedBy>Galli Carlo</cp:lastModifiedBy>
  <cp:lastPrinted>2014-07-07T10:17:10Z</cp:lastPrinted>
  <dcterms:created xsi:type="dcterms:W3CDTF">2009-06-29T14:19:30Z</dcterms:created>
  <dcterms:modified xsi:type="dcterms:W3CDTF">2017-12-15T11:06:45Z</dcterms:modified>
</cp:coreProperties>
</file>